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 Matrix (Website)" sheetId="1" r:id="rId5"/>
    <sheet state="visible" name="Scores &amp; Ranking" sheetId="2" r:id="rId6"/>
    <sheet state="visible" name="Raw Scores (0-1)" sheetId="3" r:id="rId7"/>
    <sheet state="visible" name="Methodology" sheetId="4" r:id="rId8"/>
  </sheets>
  <definedNames/>
  <calcPr/>
</workbook>
</file>

<file path=xl/sharedStrings.xml><?xml version="1.0" encoding="utf-8"?>
<sst xmlns="http://schemas.openxmlformats.org/spreadsheetml/2006/main" count="803" uniqueCount="249">
  <si>
    <t>Rank</t>
  </si>
  <si>
    <t>Scoring Methodology — Chat/Messaging App Privacy &amp; Feature Comparison</t>
  </si>
  <si>
    <t>App Name</t>
  </si>
  <si>
    <t>Category</t>
  </si>
  <si>
    <t>Owner / Parent Company</t>
  </si>
  <si>
    <t>NA/Europe User Base Note</t>
  </si>
  <si>
    <t>Every app is scored out of 100 using a fixed, published point rubric applied identically to all 50 apps. Each of the 31 underlying criteria is answered 1 (fully meets), 0.5 (partially/conditionally meets — e.g. opt-in rather than default, or paid-tier only), or 0 (does not meet), based on each provider's own documentation, security whitepapers, independent audits, and reputable technology press (see chat sources). No criterion is judged subjectively — every point is tied to a verifiable yes/partial/no fact.
This comparison is being built for a privacy-focused messaging product, so — per the requester's explicit choice — the Privacy &amp; Security category is weighted higher (50 of 100 points, i.e. 50%) than it would be in a neutral popularity-only ranking. This weighting is disclosed here so anyone auditing the sheet can see exactly how much the final Total Score is shaped by that choice, and can re-weight it themselves using the raw 0-1 data on the 'Raw Scores (0-1)' sheet if a different emphasis is wanted.
Row order across every sheet is fixed at Rank 1-50, sorted by estimated popularity / relevance to North American and European users (not by score) — see the 'NA/Europe User Base Note' column for the basis of each ranking. Data reflects publicly available information as of July 2026; several apps changed features materially in 2025-2026 (e.g. Instagram Direct's E2EE removal, Discord's default-E2EE calls, Skype's May 2025 retirement) and this is noted where relevant.</t>
  </si>
  <si>
    <t>E2EE Default (All Chats)</t>
  </si>
  <si>
    <t>Privacy &amp; Security (/50)</t>
  </si>
  <si>
    <t>1. E2EE Default (All Chats)</t>
  </si>
  <si>
    <t>Open-Source Client</t>
  </si>
  <si>
    <t>Category Weights</t>
  </si>
  <si>
    <t>2. Open-Source Client</t>
  </si>
  <si>
    <t>Open-Source Server/Protocol</t>
  </si>
  <si>
    <t>Core Messaging (/20)</t>
  </si>
  <si>
    <t>Independent Security Audit Published</t>
  </si>
  <si>
    <t>3. Open-Source Server/Protocol</t>
  </si>
  <si>
    <t>No Phone Number Required</t>
  </si>
  <si>
    <t>4. Independent Security Audit Published</t>
  </si>
  <si>
    <t>Minimal Metadata Collection</t>
  </si>
  <si>
    <t>Calls &amp; Media (/10)</t>
  </si>
  <si>
    <t># Criteria</t>
  </si>
  <si>
    <t>5. No Phone Number Required</t>
  </si>
  <si>
    <t>Self-Hosting Option</t>
  </si>
  <si>
    <t>Points</t>
  </si>
  <si>
    <t>Disappearing Messages</t>
  </si>
  <si>
    <t>6. Minimal Metadata Collection</t>
  </si>
  <si>
    <t>% of Total</t>
  </si>
  <si>
    <t>Platform &amp; Accessibility (/10)</t>
  </si>
  <si>
    <t>1:1 Text Chat</t>
  </si>
  <si>
    <t>Privacy &amp; Security</t>
  </si>
  <si>
    <t>7. Self-Hosting Option</t>
  </si>
  <si>
    <t>Openness / Business Model (/10)</t>
  </si>
  <si>
    <t>Group Chat</t>
  </si>
  <si>
    <t>8. Disappearing Messages</t>
  </si>
  <si>
    <t>File/Media Sharing</t>
  </si>
  <si>
    <t>9. 1:1 Text Chat</t>
  </si>
  <si>
    <t>TOTAL SCORE (/100)</t>
  </si>
  <si>
    <t>Voice Messages</t>
  </si>
  <si>
    <t>Core Messaging Features</t>
  </si>
  <si>
    <t>10. Group Chat</t>
  </si>
  <si>
    <t>Edit/Delete for Everyone</t>
  </si>
  <si>
    <t>Read Receipts/Typing Indicators</t>
  </si>
  <si>
    <t>11. File/Media Sharing</t>
  </si>
  <si>
    <t>Emoji Reactions</t>
  </si>
  <si>
    <t>Calls &amp; Media</t>
  </si>
  <si>
    <t>In-Chat Search</t>
  </si>
  <si>
    <t>WhatsApp</t>
  </si>
  <si>
    <t>Message Forwarding</t>
  </si>
  <si>
    <t>Platform &amp; Accessibility</t>
  </si>
  <si>
    <t>Mainstream</t>
  </si>
  <si>
    <t>Meta Platforms, Inc.</t>
  </si>
  <si>
    <t>Cloud Backup/Multi-Device Sync</t>
  </si>
  <si>
    <t>Dominant in Europe/LatAm/Asia; large and growing in US (~32% of US adults); ~3B+ global MAU</t>
  </si>
  <si>
    <t>12. Voice Messages</t>
  </si>
  <si>
    <t>Openness / Business Model</t>
  </si>
  <si>
    <t>1:1 Voice Calls</t>
  </si>
  <si>
    <t>13. Edit/Delete for Everyone</t>
  </si>
  <si>
    <t>1:1 Video Calls</t>
  </si>
  <si>
    <t>TOTAL</t>
  </si>
  <si>
    <t>Group Voice Calls</t>
  </si>
  <si>
    <t>14. Read Receipts/Typing Indicators</t>
  </si>
  <si>
    <t>Group Video Calls</t>
  </si>
  <si>
    <t>15. Emoji Reactions</t>
  </si>
  <si>
    <t>Screen Sharing</t>
  </si>
  <si>
    <t>16. In-Chat Search</t>
  </si>
  <si>
    <t>iOS App</t>
  </si>
  <si>
    <t>17. Message Forwarding</t>
  </si>
  <si>
    <t>Android App</t>
  </si>
  <si>
    <t>Desktop App (Native)</t>
  </si>
  <si>
    <t>18. Cloud Backup/Multi-Device Sync</t>
  </si>
  <si>
    <t>Web Client</t>
  </si>
  <si>
    <t>19. 1:1 Voice Calls</t>
  </si>
  <si>
    <t>Cross-Platform (No Vendor Lock-In)</t>
  </si>
  <si>
    <t>20. 1:1 Video Calls</t>
  </si>
  <si>
    <t>Ad-Free (No In-App Ads)</t>
  </si>
  <si>
    <t>21. Group Voice Calls</t>
  </si>
  <si>
    <t>Per-Criterion Rubric (31 criteria, weights sum to 100 points)</t>
  </si>
  <si>
    <t>No Third-Party Data Sale</t>
  </si>
  <si>
    <t>22. Group Video Calls</t>
  </si>
  <si>
    <t>Nonprofit / Privacy-First Mission</t>
  </si>
  <si>
    <t>#</t>
  </si>
  <si>
    <t>23. Screen Sharing</t>
  </si>
  <si>
    <t>Criterion</t>
  </si>
  <si>
    <t>24. iOS App</t>
  </si>
  <si>
    <t>25. Android App</t>
  </si>
  <si>
    <t>Points if score=1</t>
  </si>
  <si>
    <t>26. Desktop App (Native)</t>
  </si>
  <si>
    <t>Scoring rule</t>
  </si>
  <si>
    <t>27. Web Client</t>
  </si>
  <si>
    <t>28. Cross-Platform (No Vendor Lock-In)</t>
  </si>
  <si>
    <t>1 = E2EE on by default for all standard chats; 0.5 = E2EE exists but opt-in/partial only; 0 = no E2EE</t>
  </si>
  <si>
    <t>29. Ad-Free (No In-App Ads)</t>
  </si>
  <si>
    <t>30. No Third-Party Data Sale</t>
  </si>
  <si>
    <t>31. Nonprofit / Privacy-First Mission</t>
  </si>
  <si>
    <t>1 = feature/property present; 0 = absent (0.5 used where evidence was mixed/partial)</t>
  </si>
  <si>
    <t>Facebook Messenger</t>
  </si>
  <si>
    <t>~1B+ MAU, strong in US/Canada, declining share as WhatsApp/iMessage grow</t>
  </si>
  <si>
    <t>Telegram</t>
  </si>
  <si>
    <t>Telegram FZ-LLC (Pavel Durov)</t>
  </si>
  <si>
    <t>~1B MAU (Mar 2025), growing fast in Europe (esp. Eastern Europe), moderate US uptake</t>
  </si>
  <si>
    <t>Apple Messages (iMessage)</t>
  </si>
  <si>
    <t>Apple Inc.</t>
  </si>
  <si>
    <t>Dominant among US iPhone users (~55-60% US share); much smaller in Europe (lower iOS share)</t>
  </si>
  <si>
    <t>Google Messages (RCS)</t>
  </si>
  <si>
    <t>Google LLC / Alphabet Inc.</t>
  </si>
  <si>
    <t>Default Android messaging app in US/EU; large installed base, RCS now interoperating with iPhone</t>
  </si>
  <si>
    <t>Weight vector aligned to 'Raw Scores (0-1)' sheet columns F:AJ (used by SUMPRODUCT formulas on the 'Scores &amp; Ranking' sheet):</t>
  </si>
  <si>
    <t>Weight (points)</t>
  </si>
  <si>
    <t>Snapchat</t>
  </si>
  <si>
    <t>Snap Inc.</t>
  </si>
  <si>
    <t>~450M+ DAU, strongest among US/EU teens &amp; young adults</t>
  </si>
  <si>
    <t>Instagram Direct</t>
  </si>
  <si>
    <t>Social Media</t>
  </si>
  <si>
    <t>Part of Instagram's 2B+ MAU; DMs are Instagram's core private-messaging surface in US/EU</t>
  </si>
  <si>
    <t>Discord</t>
  </si>
  <si>
    <t>Discord Inc.</t>
  </si>
  <si>
    <t>~200-260M MAU 2025, strong in US/EU gaming &amp; community spaces</t>
  </si>
  <si>
    <t>Microsoft Teams (Personal)</t>
  </si>
  <si>
    <t>Team &amp; Business</t>
  </si>
  <si>
    <t>Microsoft Corporation</t>
  </si>
  <si>
    <t>~360M MAU (2025), dominant enterprise chat/collab tool in NA/EU businesses</t>
  </si>
  <si>
    <t>Slack</t>
  </si>
  <si>
    <t>Salesforce (Slack Technologies)</t>
  </si>
  <si>
    <t>~47M DAU / ~79M MAU (2025 est.), widely used in NA/EU tech &amp; knowledge-work companies</t>
  </si>
  <si>
    <t>Viber</t>
  </si>
  <si>
    <t>Rakuten Group, Inc. (Japan)</t>
  </si>
  <si>
    <t>~820M global MAU; modest US presence, stronger among Eastern European/diaspora communities</t>
  </si>
  <si>
    <t>Threads (Meta) DMs</t>
  </si>
  <si>
    <t>~350-400M MAU; sizable and growing US/Europe base as an X alternative</t>
  </si>
  <si>
    <t>X (Twitter) DMs/XChat</t>
  </si>
  <si>
    <t>X Corp</t>
  </si>
  <si>
    <t>~600M global MAU, ~100M US; strong US/Europe</t>
  </si>
  <si>
    <t>LinkedIn Messaging</t>
  </si>
  <si>
    <t>~310-350M MAU; ~250M in North America, major European base</t>
  </si>
  <si>
    <t>TikTok Messages</t>
  </si>
  <si>
    <t>TikTok USDS Joint Venture LLC / ByteDance Ltd.</t>
  </si>
  <si>
    <t>~136-200M US MAU; ~2B global</t>
  </si>
  <si>
    <t>Reddit Chat</t>
  </si>
  <si>
    <t>Reddit, Inc. (NYSE: RDDT)</t>
  </si>
  <si>
    <t>Reddit overall ~120M DAU; strong US/Europe audience; Chat is a secondary feature</t>
  </si>
  <si>
    <t>Google Chat (Workspace)</t>
  </si>
  <si>
    <t>Bundled with Workspace (~3B users across suite); enterprise-heavy in US/Europe</t>
  </si>
  <si>
    <t>Kik Messenger</t>
  </si>
  <si>
    <t>Niche / Legacy</t>
  </si>
  <si>
    <t>MediaLab AI, Inc.</t>
  </si>
  <si>
    <t>~15M global MAU (declining), ~7M US; historically popular with US/Canada teens</t>
  </si>
  <si>
    <t>GroupMe</t>
  </si>
  <si>
    <t>Mainstream (NA)</t>
  </si>
  <si>
    <t>~98% US users; dominant on US college campuses, minimal Europe presence</t>
  </si>
  <si>
    <t>Zoom Team Chat</t>
  </si>
  <si>
    <t>Zoom Communications, Inc.</t>
  </si>
  <si>
    <t>Bundled with Zoom Workplace; heavy US/Europe enterprise/education use</t>
  </si>
  <si>
    <t>Signal</t>
  </si>
  <si>
    <t>Privacy-Focused</t>
  </si>
  <si>
    <t>Signal Foundation (US 501c3 nonprofit)</t>
  </si>
  <si>
    <t>Mainstream privacy-conscious general population; tens of millions of users; notable govt/enterprise adoption in EU</t>
  </si>
  <si>
    <t>Threema</t>
  </si>
  <si>
    <t>Threema GmbH (Switzerland)</t>
  </si>
  <si>
    <t>General-population choice in Switzerland/Germany/Austria; smaller footprint elsewhere in NA/EU</t>
  </si>
  <si>
    <t>Wire</t>
  </si>
  <si>
    <t>Wire Swiss GmbH</t>
  </si>
  <si>
    <t>Primarily enterprise/government customers (EU govts, G7, MSF); minimal general-consumer NA/EU use</t>
  </si>
  <si>
    <t>Session</t>
  </si>
  <si>
    <t>Session Technology Foundation</t>
  </si>
  <si>
    <t>Small niche of privacy enthusiasts; not mainstream in NA/EU</t>
  </si>
  <si>
    <t>Element (Matrix)</t>
  </si>
  <si>
    <t>Element/New Vector Ltd (UK); protocol stewarded by nonprofit Matrix.org Foundation</t>
  </si>
  <si>
    <t>Niche/tech-savvy + EU public-sector deployments (French govt, German armed forces); not mainstream consumer app</t>
  </si>
  <si>
    <t>WeChat</t>
  </si>
  <si>
    <t>Regional / Diaspora</t>
  </si>
  <si>
    <t>Tencent Holdings (China)</t>
  </si>
  <si>
    <t>In NA/Europe used almost exclusively by Chinese diaspora/expats/students, not general population</t>
  </si>
  <si>
    <t>Line</t>
  </si>
  <si>
    <t>LY Corporation (SoftBank + Naver JV)</t>
  </si>
  <si>
    <t>Dominant in Japan/Taiwan/Thailand; in NA/Europe used mainly by Japanese/Taiwanese diaspora</t>
  </si>
  <si>
    <t>KakaoTalk</t>
  </si>
  <si>
    <t>Kakao Corporation (South Korea)</t>
  </si>
  <si>
    <t>Near-universal in South Korea (90%+); in NA/Europe used almost exclusively by Korean diaspora</t>
  </si>
  <si>
    <t>Zalo</t>
  </si>
  <si>
    <t>VNG Corporation (Vietnam)</t>
  </si>
  <si>
    <t>Dominant in Vietnam (~85%); in NA/Europe used almost exclusively by Vietnamese diaspora</t>
  </si>
  <si>
    <t>imo</t>
  </si>
  <si>
    <t>imo.im Inc. (Palo Alto, CA, US)</t>
  </si>
  <si>
    <t>Popular in South Asia/Middle East/Latin America; in NA/Europe used mostly by immigrant/diaspora communities</t>
  </si>
  <si>
    <t>Rocket.Chat</t>
  </si>
  <si>
    <t>Team &amp; Business (Open Source)</t>
  </si>
  <si>
    <t>Rocket.Chat Inc. (VC-backed)</t>
  </si>
  <si>
    <t>Popular open-source Slack alternative; used by German armed forces, US Navy, many EU enterprises</t>
  </si>
  <si>
    <t>Mattermost</t>
  </si>
  <si>
    <t>Mattermost, Inc. (VC-backed)</t>
  </si>
  <si>
    <t>Popular Slack alternative; used by US DoD, NATO-adjacent orgs, large self-hosted base</t>
  </si>
  <si>
    <t>Zulip</t>
  </si>
  <si>
    <t>Zulip Foundation (nonprofit, since May 2026)</t>
  </si>
  <si>
    <t>Team chat for open-source/academic communities; shifting to nonprofit governance</t>
  </si>
  <si>
    <t>SimpleX Chat</t>
  </si>
  <si>
    <t>SimpleX Chat Ltd (UK)</t>
  </si>
  <si>
    <t>Fast-growing privacy messenger, praised by security researchers; smaller but high-notability EU/NA privacy niche</t>
  </si>
  <si>
    <t>Olvid</t>
  </si>
  <si>
    <t>Olvid SAS (Paris)</t>
  </si>
  <si>
    <t>Mandated messenger for French government ministers since 2023; growing EU enterprise/gov use</t>
  </si>
  <si>
    <t>Briar</t>
  </si>
  <si>
    <t>Briar Project (grant-funded nonprofit/community)</t>
  </si>
  <si>
    <t>Niche censorship-resistant tool for journalists/activists; EFF-recognized; small install base</t>
  </si>
  <si>
    <t>Jami</t>
  </si>
  <si>
    <t>Savoir-faire Linux / GNU Project</t>
  </si>
  <si>
    <t>GNU's official P2P communicator; moderate FOSS/enterprise niche</t>
  </si>
  <si>
    <t>Tox (qTox)</t>
  </si>
  <si>
    <t>Privacy-Focused (Unmaintained)</t>
  </si>
  <si>
    <t>TokTok community (qTox archived Feb 2025)</t>
  </si>
  <si>
    <t>Historically popular P2P messenger in privacy circles; now unmaintained/declining</t>
  </si>
  <si>
    <t>Status</t>
  </si>
  <si>
    <t>Status Research &amp; Development GmbH</t>
  </si>
  <si>
    <t>Niche Web3/crypto-native messenger tied to Ethereum ecosystem; small mainstream base</t>
  </si>
  <si>
    <t>Silence</t>
  </si>
  <si>
    <t>Originally SilenceIM/SMSSecure volunteers (now dormant)</t>
  </si>
  <si>
    <t>Legacy Android SMS-encryption tool, popular ~2015-2018 as a Signal-SMS alternative; now largely abandoned</t>
  </si>
  <si>
    <t>Ricochet Refresh</t>
  </si>
  <si>
    <t>Blueprint for Free Speech (nonprofit)</t>
  </si>
  <si>
    <t>Niche; journalists/activists/privacy community; Tor-based P2P, desktop-only, no mobile app</t>
  </si>
  <si>
    <t>Conversations (XMPP)</t>
  </si>
  <si>
    <t>Individual dev (Daniel Gultsch) + open XMPP community</t>
  </si>
  <si>
    <t>Niche; XMPP/Jabber enthusiasts, some govt/enterprise (decentralized federation) in Europe; Android-only official app</t>
  </si>
  <si>
    <t>Nextcloud Talk</t>
  </si>
  <si>
    <t>Nextcloud GmbH (Germany) + community</t>
  </si>
  <si>
    <t>Popular self-hosted Zoom/Slack alternative; used by EU governments, schools, privacy-conscious orgs</t>
  </si>
  <si>
    <t>Symphony</t>
  </si>
  <si>
    <t>Team &amp; Business (Finance)</t>
  </si>
  <si>
    <t>Symphony Communication Services LLC (bank consortium-backed)</t>
  </si>
  <si>
    <t>500,000+ users, 1,000+ institutions incl. 10 of the 10 largest investment banks; dominant in NA/EU finance chat</t>
  </si>
  <si>
    <t>Chanty</t>
  </si>
  <si>
    <t>Chanty, Inc. (New York, US)</t>
  </si>
  <si>
    <t>Small/mid business team chat; modest adoption, Slack alternative</t>
  </si>
  <si>
    <t>Twist</t>
  </si>
  <si>
    <t>Doist</t>
  </si>
  <si>
    <t>Niche; async-focused Slack alternative for remote teams</t>
  </si>
  <si>
    <t>Flock</t>
  </si>
  <si>
    <t>Flock.com (Directi-Radix group, Dubai)</t>
  </si>
  <si>
    <t>SMB team chat, stronger presence in Asia/Middle East; moderate NA/EU footprint</t>
  </si>
  <si>
    <t>Facebook Messenger Kids</t>
  </si>
  <si>
    <t>Social Media (Kids)</t>
  </si>
  <si>
    <t>Major under-13 messaging app in North America; parent-controlled, no ads</t>
  </si>
  <si>
    <t>Google Voice</t>
  </si>
  <si>
    <t>Mainstream (NA-only)</t>
  </si>
  <si>
    <t>Widely used in US/Canada for free phone number/texting/voicemail; largely unavailable in most of Europe</t>
  </si>
  <si>
    <t>Voxer</t>
  </si>
  <si>
    <t>Niche (Push-to-Talk)</t>
  </si>
  <si>
    <t>VoxerNet LLC (Dallas, TX)</t>
  </si>
  <si>
    <t>Dedicated niche user base (sports teams, dispatch/logistics, healthcare coordination); B2B focus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</si>
</sst>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4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i/>
      <sz val="9.0"/>
      <color rgb="FF555555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1F4E5F"/>
        <bgColor rgb="FF1F4E5F"/>
      </patternFill>
    </fill>
    <fill>
      <patternFill patternType="solid">
        <fgColor rgb="FF2E6F40"/>
        <bgColor rgb="FF2E6F40"/>
      </patternFill>
    </fill>
    <fill>
      <patternFill patternType="solid">
        <fgColor rgb="FF6F4E2E"/>
        <bgColor rgb="FF6F4E2E"/>
      </patternFill>
    </fill>
    <fill>
      <patternFill patternType="solid">
        <fgColor rgb="FF5B4E77"/>
        <bgColor rgb="FF5B4E77"/>
      </patternFill>
    </fill>
    <fill>
      <patternFill patternType="solid">
        <fgColor rgb="FF7A3B3B"/>
        <bgColor rgb="FF7A3B3B"/>
      </patternFill>
    </fill>
    <fill>
      <patternFill patternType="solid">
        <fgColor rgb="FFB8860B"/>
        <bgColor rgb="FFB8860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bottom" wrapText="0"/>
    </xf>
    <xf borderId="1" fillId="4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shrinkToFit="0" vertical="bottom" wrapText="0"/>
    </xf>
    <xf borderId="1" fillId="5" fontId="1" numFmtId="0" xfId="0" applyAlignment="1" applyBorder="1" applyFill="1" applyFont="1">
      <alignment shrinkToFit="0" vertical="center" wrapText="1"/>
    </xf>
    <xf borderId="1" fillId="6" fontId="1" numFmtId="0" xfId="0" applyAlignment="1" applyBorder="1" applyFill="1" applyFont="1">
      <alignment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1" fillId="7" fontId="1" numFmtId="0" xfId="0" applyAlignment="1" applyBorder="1" applyFill="1" applyFont="1">
      <alignment shrinkToFit="0" vertical="center" wrapText="1"/>
    </xf>
    <xf borderId="0" fillId="0" fontId="3" numFmtId="9" xfId="0" applyAlignment="1" applyFont="1" applyNumberFormat="1">
      <alignment shrinkToFit="0" vertical="bottom" wrapText="0"/>
    </xf>
    <xf borderId="1" fillId="8" fontId="1" numFmtId="0" xfId="0" applyAlignment="1" applyBorder="1" applyFill="1" applyFont="1">
      <alignment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0" fillId="0" fontId="4" numFmtId="9" xfId="0" applyAlignment="1" applyFont="1" applyNumberFormat="1">
      <alignment shrinkToFit="0" vertical="bottom" wrapText="0"/>
    </xf>
    <xf borderId="1" fillId="7" fontId="1" numFmtId="0" xfId="0" applyAlignment="1" applyBorder="1" applyFon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center" shrinkToFit="0" vertical="bottom" wrapText="0"/>
    </xf>
    <xf borderId="0" fillId="0" fontId="4" numFmtId="164" xfId="0" applyAlignment="1" applyFont="1" applyNumberForma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20.0"/>
    <col customWidth="1" min="4" max="4" width="26.0"/>
    <col customWidth="1" min="5" max="5" width="42.0"/>
    <col customWidth="1" min="6" max="36" width="11.0"/>
    <col customWidth="1" min="37" max="42" width="13.0"/>
  </cols>
  <sheetData>
    <row r="1" ht="60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4" t="s">
        <v>7</v>
      </c>
      <c r="G1" s="4" t="s">
        <v>10</v>
      </c>
      <c r="H1" s="4" t="s">
        <v>13</v>
      </c>
      <c r="I1" s="4" t="s">
        <v>15</v>
      </c>
      <c r="J1" s="4" t="s">
        <v>17</v>
      </c>
      <c r="K1" s="4" t="s">
        <v>19</v>
      </c>
      <c r="L1" s="4" t="s">
        <v>23</v>
      </c>
      <c r="M1" s="4" t="s">
        <v>25</v>
      </c>
      <c r="N1" s="11" t="s">
        <v>29</v>
      </c>
      <c r="O1" s="11" t="s">
        <v>33</v>
      </c>
      <c r="P1" s="11" t="s">
        <v>35</v>
      </c>
      <c r="Q1" s="11" t="s">
        <v>38</v>
      </c>
      <c r="R1" s="11" t="s">
        <v>41</v>
      </c>
      <c r="S1" s="11" t="s">
        <v>42</v>
      </c>
      <c r="T1" s="11" t="s">
        <v>44</v>
      </c>
      <c r="U1" s="11" t="s">
        <v>46</v>
      </c>
      <c r="V1" s="11" t="s">
        <v>48</v>
      </c>
      <c r="W1" s="11" t="s">
        <v>52</v>
      </c>
      <c r="X1" s="16" t="s">
        <v>56</v>
      </c>
      <c r="Y1" s="16" t="s">
        <v>58</v>
      </c>
      <c r="Z1" s="16" t="s">
        <v>60</v>
      </c>
      <c r="AA1" s="16" t="s">
        <v>62</v>
      </c>
      <c r="AB1" s="16" t="s">
        <v>64</v>
      </c>
      <c r="AC1" s="17" t="s">
        <v>66</v>
      </c>
      <c r="AD1" s="17" t="s">
        <v>68</v>
      </c>
      <c r="AE1" s="17" t="s">
        <v>69</v>
      </c>
      <c r="AF1" s="17" t="s">
        <v>71</v>
      </c>
      <c r="AG1" s="17" t="s">
        <v>73</v>
      </c>
      <c r="AH1" s="19" t="s">
        <v>75</v>
      </c>
      <c r="AI1" s="19" t="s">
        <v>78</v>
      </c>
      <c r="AJ1" s="19" t="s">
        <v>80</v>
      </c>
      <c r="AK1" s="5" t="s">
        <v>8</v>
      </c>
      <c r="AL1" s="7" t="s">
        <v>14</v>
      </c>
      <c r="AM1" s="9" t="s">
        <v>20</v>
      </c>
      <c r="AN1" s="10" t="s">
        <v>28</v>
      </c>
      <c r="AO1" s="13" t="s">
        <v>32</v>
      </c>
      <c r="AP1" s="15" t="s">
        <v>37</v>
      </c>
    </row>
    <row r="2">
      <c r="A2" s="12">
        <v>1.0</v>
      </c>
      <c r="B2" s="6" t="s">
        <v>47</v>
      </c>
      <c r="C2" s="12" t="s">
        <v>50</v>
      </c>
      <c r="D2" s="12" t="s">
        <v>51</v>
      </c>
      <c r="E2" s="3" t="s">
        <v>53</v>
      </c>
      <c r="F2" s="22" t="str">
        <f>IF('Raw Scores (0-1)'!F2=1,"Yes",IF('Raw Scores (0-1)'!F2=0.5,"Partial","No"))</f>
        <v>Yes</v>
      </c>
      <c r="G2" s="22" t="str">
        <f>IF('Raw Scores (0-1)'!G2=1,"Yes",IF('Raw Scores (0-1)'!G2=0.5,"Partial","No"))</f>
        <v>No</v>
      </c>
      <c r="H2" s="22" t="str">
        <f>IF('Raw Scores (0-1)'!H2=1,"Yes",IF('Raw Scores (0-1)'!H2=0.5,"Partial","No"))</f>
        <v>Partial</v>
      </c>
      <c r="I2" s="22" t="str">
        <f>IF('Raw Scores (0-1)'!I2=1,"Yes",IF('Raw Scores (0-1)'!I2=0.5,"Partial","No"))</f>
        <v>Yes</v>
      </c>
      <c r="J2" s="22" t="str">
        <f>IF('Raw Scores (0-1)'!J2=1,"Yes",IF('Raw Scores (0-1)'!J2=0.5,"Partial","No"))</f>
        <v>No</v>
      </c>
      <c r="K2" s="22" t="str">
        <f>IF('Raw Scores (0-1)'!K2=1,"Yes",IF('Raw Scores (0-1)'!K2=0.5,"Partial","No"))</f>
        <v>No</v>
      </c>
      <c r="L2" s="22" t="str">
        <f>IF('Raw Scores (0-1)'!L2=1,"Yes",IF('Raw Scores (0-1)'!L2=0.5,"Partial","No"))</f>
        <v>No</v>
      </c>
      <c r="M2" s="22" t="str">
        <f>IF('Raw Scores (0-1)'!M2=1,"Yes",IF('Raw Scores (0-1)'!M2=0.5,"Partial","No"))</f>
        <v>Yes</v>
      </c>
      <c r="N2" s="22" t="str">
        <f>IF('Raw Scores (0-1)'!N2=1,"Yes",IF('Raw Scores (0-1)'!N2=0.5,"Partial","No"))</f>
        <v>Yes</v>
      </c>
      <c r="O2" s="22" t="str">
        <f>IF('Raw Scores (0-1)'!O2=1,"Yes",IF('Raw Scores (0-1)'!O2=0.5,"Partial","No"))</f>
        <v>Yes</v>
      </c>
      <c r="P2" s="22" t="str">
        <f>IF('Raw Scores (0-1)'!P2=1,"Yes",IF('Raw Scores (0-1)'!P2=0.5,"Partial","No"))</f>
        <v>Yes</v>
      </c>
      <c r="Q2" s="22" t="str">
        <f>IF('Raw Scores (0-1)'!Q2=1,"Yes",IF('Raw Scores (0-1)'!Q2=0.5,"Partial","No"))</f>
        <v>Yes</v>
      </c>
      <c r="R2" s="22" t="str">
        <f>IF('Raw Scores (0-1)'!R2=1,"Yes",IF('Raw Scores (0-1)'!R2=0.5,"Partial","No"))</f>
        <v>Yes</v>
      </c>
      <c r="S2" s="22" t="str">
        <f>IF('Raw Scores (0-1)'!S2=1,"Yes",IF('Raw Scores (0-1)'!S2=0.5,"Partial","No"))</f>
        <v>Yes</v>
      </c>
      <c r="T2" s="22" t="str">
        <f>IF('Raw Scores (0-1)'!T2=1,"Yes",IF('Raw Scores (0-1)'!T2=0.5,"Partial","No"))</f>
        <v>Yes</v>
      </c>
      <c r="U2" s="22" t="str">
        <f>IF('Raw Scores (0-1)'!U2=1,"Yes",IF('Raw Scores (0-1)'!U2=0.5,"Partial","No"))</f>
        <v>Yes</v>
      </c>
      <c r="V2" s="22" t="str">
        <f>IF('Raw Scores (0-1)'!V2=1,"Yes",IF('Raw Scores (0-1)'!V2=0.5,"Partial","No"))</f>
        <v>Yes</v>
      </c>
      <c r="W2" s="22" t="str">
        <f>IF('Raw Scores (0-1)'!W2=1,"Yes",IF('Raw Scores (0-1)'!W2=0.5,"Partial","No"))</f>
        <v>Yes</v>
      </c>
      <c r="X2" s="22" t="str">
        <f>IF('Raw Scores (0-1)'!X2=1,"Yes",IF('Raw Scores (0-1)'!X2=0.5,"Partial","No"))</f>
        <v>Yes</v>
      </c>
      <c r="Y2" s="22" t="str">
        <f>IF('Raw Scores (0-1)'!Y2=1,"Yes",IF('Raw Scores (0-1)'!Y2=0.5,"Partial","No"))</f>
        <v>Yes</v>
      </c>
      <c r="Z2" s="22" t="str">
        <f>IF('Raw Scores (0-1)'!Z2=1,"Yes",IF('Raw Scores (0-1)'!Z2=0.5,"Partial","No"))</f>
        <v>Yes</v>
      </c>
      <c r="AA2" s="22" t="str">
        <f>IF('Raw Scores (0-1)'!AA2=1,"Yes",IF('Raw Scores (0-1)'!AA2=0.5,"Partial","No"))</f>
        <v>Yes</v>
      </c>
      <c r="AB2" s="22" t="str">
        <f>IF('Raw Scores (0-1)'!AB2=1,"Yes",IF('Raw Scores (0-1)'!AB2=0.5,"Partial","No"))</f>
        <v>Yes</v>
      </c>
      <c r="AC2" s="22" t="str">
        <f>IF('Raw Scores (0-1)'!AC2=1,"Yes",IF('Raw Scores (0-1)'!AC2=0.5,"Partial","No"))</f>
        <v>Yes</v>
      </c>
      <c r="AD2" s="22" t="str">
        <f>IF('Raw Scores (0-1)'!AD2=1,"Yes",IF('Raw Scores (0-1)'!AD2=0.5,"Partial","No"))</f>
        <v>Yes</v>
      </c>
      <c r="AE2" s="22" t="str">
        <f>IF('Raw Scores (0-1)'!AE2=1,"Yes",IF('Raw Scores (0-1)'!AE2=0.5,"Partial","No"))</f>
        <v>Yes</v>
      </c>
      <c r="AF2" s="22" t="str">
        <f>IF('Raw Scores (0-1)'!AF2=1,"Yes",IF('Raw Scores (0-1)'!AF2=0.5,"Partial","No"))</f>
        <v>Yes</v>
      </c>
      <c r="AG2" s="22" t="str">
        <f>IF('Raw Scores (0-1)'!AG2=1,"Yes",IF('Raw Scores (0-1)'!AG2=0.5,"Partial","No"))</f>
        <v>Yes</v>
      </c>
      <c r="AH2" s="22" t="str">
        <f>IF('Raw Scores (0-1)'!AH2=1,"Yes",IF('Raw Scores (0-1)'!AH2=0.5,"Partial","No"))</f>
        <v>Partial</v>
      </c>
      <c r="AI2" s="22" t="str">
        <f>IF('Raw Scores (0-1)'!AI2=1,"Yes",IF('Raw Scores (0-1)'!AI2=0.5,"Partial","No"))</f>
        <v>No</v>
      </c>
      <c r="AJ2" s="22" t="str">
        <f>IF('Raw Scores (0-1)'!AJ2=1,"Yes",IF('Raw Scores (0-1)'!AJ2=0.5,"Partial","No"))</f>
        <v>No</v>
      </c>
      <c r="AK2" s="20">
        <f>'Scores &amp; Ranking'!F2</f>
        <v>27.5</v>
      </c>
      <c r="AL2" s="20">
        <f>'Scores &amp; Ranking'!G2</f>
        <v>20</v>
      </c>
      <c r="AM2" s="20">
        <f>'Scores &amp; Ranking'!H2</f>
        <v>10</v>
      </c>
      <c r="AN2" s="20">
        <f>'Scores &amp; Ranking'!I2</f>
        <v>10</v>
      </c>
      <c r="AO2" s="20">
        <f>'Scores &amp; Ranking'!J2</f>
        <v>1.5</v>
      </c>
      <c r="AP2" s="23">
        <f>'Scores &amp; Ranking'!K2</f>
        <v>69</v>
      </c>
    </row>
    <row r="3">
      <c r="A3" s="12">
        <v>2.0</v>
      </c>
      <c r="B3" s="6" t="s">
        <v>96</v>
      </c>
      <c r="C3" s="12" t="s">
        <v>50</v>
      </c>
      <c r="D3" s="12" t="s">
        <v>51</v>
      </c>
      <c r="E3" s="3" t="s">
        <v>97</v>
      </c>
      <c r="F3" s="22" t="str">
        <f>IF('Raw Scores (0-1)'!F3=1,"Yes",IF('Raw Scores (0-1)'!F3=0.5,"Partial","No"))</f>
        <v>Partial</v>
      </c>
      <c r="G3" s="22" t="str">
        <f>IF('Raw Scores (0-1)'!G3=1,"Yes",IF('Raw Scores (0-1)'!G3=0.5,"Partial","No"))</f>
        <v>No</v>
      </c>
      <c r="H3" s="22" t="str">
        <f>IF('Raw Scores (0-1)'!H3=1,"Yes",IF('Raw Scores (0-1)'!H3=0.5,"Partial","No"))</f>
        <v>Partial</v>
      </c>
      <c r="I3" s="22" t="str">
        <f>IF('Raw Scores (0-1)'!I3=1,"Yes",IF('Raw Scores (0-1)'!I3=0.5,"Partial","No"))</f>
        <v>Partial</v>
      </c>
      <c r="J3" s="22" t="str">
        <f>IF('Raw Scores (0-1)'!J3=1,"Yes",IF('Raw Scores (0-1)'!J3=0.5,"Partial","No"))</f>
        <v>Partial</v>
      </c>
      <c r="K3" s="22" t="str">
        <f>IF('Raw Scores (0-1)'!K3=1,"Yes",IF('Raw Scores (0-1)'!K3=0.5,"Partial","No"))</f>
        <v>No</v>
      </c>
      <c r="L3" s="22" t="str">
        <f>IF('Raw Scores (0-1)'!L3=1,"Yes",IF('Raw Scores (0-1)'!L3=0.5,"Partial","No"))</f>
        <v>No</v>
      </c>
      <c r="M3" s="22" t="str">
        <f>IF('Raw Scores (0-1)'!M3=1,"Yes",IF('Raw Scores (0-1)'!M3=0.5,"Partial","No"))</f>
        <v>Yes</v>
      </c>
      <c r="N3" s="22" t="str">
        <f>IF('Raw Scores (0-1)'!N3=1,"Yes",IF('Raw Scores (0-1)'!N3=0.5,"Partial","No"))</f>
        <v>Yes</v>
      </c>
      <c r="O3" s="22" t="str">
        <f>IF('Raw Scores (0-1)'!O3=1,"Yes",IF('Raw Scores (0-1)'!O3=0.5,"Partial","No"))</f>
        <v>Yes</v>
      </c>
      <c r="P3" s="22" t="str">
        <f>IF('Raw Scores (0-1)'!P3=1,"Yes",IF('Raw Scores (0-1)'!P3=0.5,"Partial","No"))</f>
        <v>Yes</v>
      </c>
      <c r="Q3" s="22" t="str">
        <f>IF('Raw Scores (0-1)'!Q3=1,"Yes",IF('Raw Scores (0-1)'!Q3=0.5,"Partial","No"))</f>
        <v>Yes</v>
      </c>
      <c r="R3" s="22" t="str">
        <f>IF('Raw Scores (0-1)'!R3=1,"Yes",IF('Raw Scores (0-1)'!R3=0.5,"Partial","No"))</f>
        <v>Yes</v>
      </c>
      <c r="S3" s="22" t="str">
        <f>IF('Raw Scores (0-1)'!S3=1,"Yes",IF('Raw Scores (0-1)'!S3=0.5,"Partial","No"))</f>
        <v>Yes</v>
      </c>
      <c r="T3" s="22" t="str">
        <f>IF('Raw Scores (0-1)'!T3=1,"Yes",IF('Raw Scores (0-1)'!T3=0.5,"Partial","No"))</f>
        <v>Yes</v>
      </c>
      <c r="U3" s="22" t="str">
        <f>IF('Raw Scores (0-1)'!U3=1,"Yes",IF('Raw Scores (0-1)'!U3=0.5,"Partial","No"))</f>
        <v>Yes</v>
      </c>
      <c r="V3" s="22" t="str">
        <f>IF('Raw Scores (0-1)'!V3=1,"Yes",IF('Raw Scores (0-1)'!V3=0.5,"Partial","No"))</f>
        <v>Yes</v>
      </c>
      <c r="W3" s="22" t="str">
        <f>IF('Raw Scores (0-1)'!W3=1,"Yes",IF('Raw Scores (0-1)'!W3=0.5,"Partial","No"))</f>
        <v>Yes</v>
      </c>
      <c r="X3" s="22" t="str">
        <f>IF('Raw Scores (0-1)'!X3=1,"Yes",IF('Raw Scores (0-1)'!X3=0.5,"Partial","No"))</f>
        <v>Yes</v>
      </c>
      <c r="Y3" s="22" t="str">
        <f>IF('Raw Scores (0-1)'!Y3=1,"Yes",IF('Raw Scores (0-1)'!Y3=0.5,"Partial","No"))</f>
        <v>Yes</v>
      </c>
      <c r="Z3" s="22" t="str">
        <f>IF('Raw Scores (0-1)'!Z3=1,"Yes",IF('Raw Scores (0-1)'!Z3=0.5,"Partial","No"))</f>
        <v>Yes</v>
      </c>
      <c r="AA3" s="22" t="str">
        <f>IF('Raw Scores (0-1)'!AA3=1,"Yes",IF('Raw Scores (0-1)'!AA3=0.5,"Partial","No"))</f>
        <v>Yes</v>
      </c>
      <c r="AB3" s="22" t="str">
        <f>IF('Raw Scores (0-1)'!AB3=1,"Yes",IF('Raw Scores (0-1)'!AB3=0.5,"Partial","No"))</f>
        <v>Yes</v>
      </c>
      <c r="AC3" s="22" t="str">
        <f>IF('Raw Scores (0-1)'!AC3=1,"Yes",IF('Raw Scores (0-1)'!AC3=0.5,"Partial","No"))</f>
        <v>Yes</v>
      </c>
      <c r="AD3" s="22" t="str">
        <f>IF('Raw Scores (0-1)'!AD3=1,"Yes",IF('Raw Scores (0-1)'!AD3=0.5,"Partial","No"))</f>
        <v>Yes</v>
      </c>
      <c r="AE3" s="22" t="str">
        <f>IF('Raw Scores (0-1)'!AE3=1,"Yes",IF('Raw Scores (0-1)'!AE3=0.5,"Partial","No"))</f>
        <v>Yes</v>
      </c>
      <c r="AF3" s="22" t="str">
        <f>IF('Raw Scores (0-1)'!AF3=1,"Yes",IF('Raw Scores (0-1)'!AF3=0.5,"Partial","No"))</f>
        <v>Yes</v>
      </c>
      <c r="AG3" s="22" t="str">
        <f>IF('Raw Scores (0-1)'!AG3=1,"Yes",IF('Raw Scores (0-1)'!AG3=0.5,"Partial","No"))</f>
        <v>Yes</v>
      </c>
      <c r="AH3" s="22" t="str">
        <f>IF('Raw Scores (0-1)'!AH3=1,"Yes",IF('Raw Scores (0-1)'!AH3=0.5,"Partial","No"))</f>
        <v>No</v>
      </c>
      <c r="AI3" s="22" t="str">
        <f>IF('Raw Scores (0-1)'!AI3=1,"Yes",IF('Raw Scores (0-1)'!AI3=0.5,"Partial","No"))</f>
        <v>No</v>
      </c>
      <c r="AJ3" s="22" t="str">
        <f>IF('Raw Scores (0-1)'!AJ3=1,"Yes",IF('Raw Scores (0-1)'!AJ3=0.5,"Partial","No"))</f>
        <v>No</v>
      </c>
      <c r="AK3" s="20">
        <f>'Scores &amp; Ranking'!F3</f>
        <v>20</v>
      </c>
      <c r="AL3" s="20">
        <f>'Scores &amp; Ranking'!G3</f>
        <v>20</v>
      </c>
      <c r="AM3" s="20">
        <f>'Scores &amp; Ranking'!H3</f>
        <v>10</v>
      </c>
      <c r="AN3" s="20">
        <f>'Scores &amp; Ranking'!I3</f>
        <v>10</v>
      </c>
      <c r="AO3" s="20">
        <f>'Scores &amp; Ranking'!J3</f>
        <v>0</v>
      </c>
      <c r="AP3" s="23">
        <f>'Scores &amp; Ranking'!K3</f>
        <v>60</v>
      </c>
    </row>
    <row r="4">
      <c r="A4" s="12">
        <v>3.0</v>
      </c>
      <c r="B4" s="6" t="s">
        <v>98</v>
      </c>
      <c r="C4" s="12" t="s">
        <v>50</v>
      </c>
      <c r="D4" s="12" t="s">
        <v>99</v>
      </c>
      <c r="E4" s="3" t="s">
        <v>100</v>
      </c>
      <c r="F4" s="22" t="str">
        <f>IF('Raw Scores (0-1)'!F4=1,"Yes",IF('Raw Scores (0-1)'!F4=0.5,"Partial","No"))</f>
        <v>Partial</v>
      </c>
      <c r="G4" s="22" t="str">
        <f>IF('Raw Scores (0-1)'!G4=1,"Yes",IF('Raw Scores (0-1)'!G4=0.5,"Partial","No"))</f>
        <v>Yes</v>
      </c>
      <c r="H4" s="22" t="str">
        <f>IF('Raw Scores (0-1)'!H4=1,"Yes",IF('Raw Scores (0-1)'!H4=0.5,"Partial","No"))</f>
        <v>Partial</v>
      </c>
      <c r="I4" s="22" t="str">
        <f>IF('Raw Scores (0-1)'!I4=1,"Yes",IF('Raw Scores (0-1)'!I4=0.5,"Partial","No"))</f>
        <v>Partial</v>
      </c>
      <c r="J4" s="22" t="str">
        <f>IF('Raw Scores (0-1)'!J4=1,"Yes",IF('Raw Scores (0-1)'!J4=0.5,"Partial","No"))</f>
        <v>No</v>
      </c>
      <c r="K4" s="22" t="str">
        <f>IF('Raw Scores (0-1)'!K4=1,"Yes",IF('Raw Scores (0-1)'!K4=0.5,"Partial","No"))</f>
        <v>No</v>
      </c>
      <c r="L4" s="22" t="str">
        <f>IF('Raw Scores (0-1)'!L4=1,"Yes",IF('Raw Scores (0-1)'!L4=0.5,"Partial","No"))</f>
        <v>No</v>
      </c>
      <c r="M4" s="22" t="str">
        <f>IF('Raw Scores (0-1)'!M4=1,"Yes",IF('Raw Scores (0-1)'!M4=0.5,"Partial","No"))</f>
        <v>Yes</v>
      </c>
      <c r="N4" s="22" t="str">
        <f>IF('Raw Scores (0-1)'!N4=1,"Yes",IF('Raw Scores (0-1)'!N4=0.5,"Partial","No"))</f>
        <v>Yes</v>
      </c>
      <c r="O4" s="22" t="str">
        <f>IF('Raw Scores (0-1)'!O4=1,"Yes",IF('Raw Scores (0-1)'!O4=0.5,"Partial","No"))</f>
        <v>Yes</v>
      </c>
      <c r="P4" s="22" t="str">
        <f>IF('Raw Scores (0-1)'!P4=1,"Yes",IF('Raw Scores (0-1)'!P4=0.5,"Partial","No"))</f>
        <v>Yes</v>
      </c>
      <c r="Q4" s="22" t="str">
        <f>IF('Raw Scores (0-1)'!Q4=1,"Yes",IF('Raw Scores (0-1)'!Q4=0.5,"Partial","No"))</f>
        <v>Yes</v>
      </c>
      <c r="R4" s="22" t="str">
        <f>IF('Raw Scores (0-1)'!R4=1,"Yes",IF('Raw Scores (0-1)'!R4=0.5,"Partial","No"))</f>
        <v>Yes</v>
      </c>
      <c r="S4" s="22" t="str">
        <f>IF('Raw Scores (0-1)'!S4=1,"Yes",IF('Raw Scores (0-1)'!S4=0.5,"Partial","No"))</f>
        <v>Yes</v>
      </c>
      <c r="T4" s="22" t="str">
        <f>IF('Raw Scores (0-1)'!T4=1,"Yes",IF('Raw Scores (0-1)'!T4=0.5,"Partial","No"))</f>
        <v>Yes</v>
      </c>
      <c r="U4" s="22" t="str">
        <f>IF('Raw Scores (0-1)'!U4=1,"Yes",IF('Raw Scores (0-1)'!U4=0.5,"Partial","No"))</f>
        <v>Yes</v>
      </c>
      <c r="V4" s="22" t="str">
        <f>IF('Raw Scores (0-1)'!V4=1,"Yes",IF('Raw Scores (0-1)'!V4=0.5,"Partial","No"))</f>
        <v>Yes</v>
      </c>
      <c r="W4" s="22" t="str">
        <f>IF('Raw Scores (0-1)'!W4=1,"Yes",IF('Raw Scores (0-1)'!W4=0.5,"Partial","No"))</f>
        <v>Yes</v>
      </c>
      <c r="X4" s="22" t="str">
        <f>IF('Raw Scores (0-1)'!X4=1,"Yes",IF('Raw Scores (0-1)'!X4=0.5,"Partial","No"))</f>
        <v>Yes</v>
      </c>
      <c r="Y4" s="22" t="str">
        <f>IF('Raw Scores (0-1)'!Y4=1,"Yes",IF('Raw Scores (0-1)'!Y4=0.5,"Partial","No"))</f>
        <v>Yes</v>
      </c>
      <c r="Z4" s="22" t="str">
        <f>IF('Raw Scores (0-1)'!Z4=1,"Yes",IF('Raw Scores (0-1)'!Z4=0.5,"Partial","No"))</f>
        <v>Yes</v>
      </c>
      <c r="AA4" s="22" t="str">
        <f>IF('Raw Scores (0-1)'!AA4=1,"Yes",IF('Raw Scores (0-1)'!AA4=0.5,"Partial","No"))</f>
        <v>Yes</v>
      </c>
      <c r="AB4" s="22" t="str">
        <f>IF('Raw Scores (0-1)'!AB4=1,"Yes",IF('Raw Scores (0-1)'!AB4=0.5,"Partial","No"))</f>
        <v>Yes</v>
      </c>
      <c r="AC4" s="22" t="str">
        <f>IF('Raw Scores (0-1)'!AC4=1,"Yes",IF('Raw Scores (0-1)'!AC4=0.5,"Partial","No"))</f>
        <v>Yes</v>
      </c>
      <c r="AD4" s="22" t="str">
        <f>IF('Raw Scores (0-1)'!AD4=1,"Yes",IF('Raw Scores (0-1)'!AD4=0.5,"Partial","No"))</f>
        <v>Yes</v>
      </c>
      <c r="AE4" s="22" t="str">
        <f>IF('Raw Scores (0-1)'!AE4=1,"Yes",IF('Raw Scores (0-1)'!AE4=0.5,"Partial","No"))</f>
        <v>Yes</v>
      </c>
      <c r="AF4" s="22" t="str">
        <f>IF('Raw Scores (0-1)'!AF4=1,"Yes",IF('Raw Scores (0-1)'!AF4=0.5,"Partial","No"))</f>
        <v>Yes</v>
      </c>
      <c r="AG4" s="22" t="str">
        <f>IF('Raw Scores (0-1)'!AG4=1,"Yes",IF('Raw Scores (0-1)'!AG4=0.5,"Partial","No"))</f>
        <v>Yes</v>
      </c>
      <c r="AH4" s="22" t="str">
        <f>IF('Raw Scores (0-1)'!AH4=1,"Yes",IF('Raw Scores (0-1)'!AH4=0.5,"Partial","No"))</f>
        <v>Partial</v>
      </c>
      <c r="AI4" s="22" t="str">
        <f>IF('Raw Scores (0-1)'!AI4=1,"Yes",IF('Raw Scores (0-1)'!AI4=0.5,"Partial","No"))</f>
        <v>Yes</v>
      </c>
      <c r="AJ4" s="22" t="str">
        <f>IF('Raw Scores (0-1)'!AJ4=1,"Yes",IF('Raw Scores (0-1)'!AJ4=0.5,"Partial","No"))</f>
        <v>Partial</v>
      </c>
      <c r="AK4" s="20">
        <f>'Scores &amp; Ranking'!F4</f>
        <v>22.5</v>
      </c>
      <c r="AL4" s="20">
        <f>'Scores &amp; Ranking'!G4</f>
        <v>20</v>
      </c>
      <c r="AM4" s="20">
        <f>'Scores &amp; Ranking'!H4</f>
        <v>10</v>
      </c>
      <c r="AN4" s="20">
        <f>'Scores &amp; Ranking'!I4</f>
        <v>10</v>
      </c>
      <c r="AO4" s="20">
        <f>'Scores &amp; Ranking'!J4</f>
        <v>7</v>
      </c>
      <c r="AP4" s="23">
        <f>'Scores &amp; Ranking'!K4</f>
        <v>69.5</v>
      </c>
    </row>
    <row r="5">
      <c r="A5" s="12">
        <v>4.0</v>
      </c>
      <c r="B5" s="6" t="s">
        <v>101</v>
      </c>
      <c r="C5" s="12" t="s">
        <v>50</v>
      </c>
      <c r="D5" s="12" t="s">
        <v>102</v>
      </c>
      <c r="E5" s="3" t="s">
        <v>103</v>
      </c>
      <c r="F5" s="22" t="str">
        <f>IF('Raw Scores (0-1)'!F5=1,"Yes",IF('Raw Scores (0-1)'!F5=0.5,"Partial","No"))</f>
        <v>Partial</v>
      </c>
      <c r="G5" s="22" t="str">
        <f>IF('Raw Scores (0-1)'!G5=1,"Yes",IF('Raw Scores (0-1)'!G5=0.5,"Partial","No"))</f>
        <v>No</v>
      </c>
      <c r="H5" s="22" t="str">
        <f>IF('Raw Scores (0-1)'!H5=1,"Yes",IF('Raw Scores (0-1)'!H5=0.5,"Partial","No"))</f>
        <v>No</v>
      </c>
      <c r="I5" s="22" t="str">
        <f>IF('Raw Scores (0-1)'!I5=1,"Yes",IF('Raw Scores (0-1)'!I5=0.5,"Partial","No"))</f>
        <v>Yes</v>
      </c>
      <c r="J5" s="22" t="str">
        <f>IF('Raw Scores (0-1)'!J5=1,"Yes",IF('Raw Scores (0-1)'!J5=0.5,"Partial","No"))</f>
        <v>Partial</v>
      </c>
      <c r="K5" s="22" t="str">
        <f>IF('Raw Scores (0-1)'!K5=1,"Yes",IF('Raw Scores (0-1)'!K5=0.5,"Partial","No"))</f>
        <v>No</v>
      </c>
      <c r="L5" s="22" t="str">
        <f>IF('Raw Scores (0-1)'!L5=1,"Yes",IF('Raw Scores (0-1)'!L5=0.5,"Partial","No"))</f>
        <v>No</v>
      </c>
      <c r="M5" s="22" t="str">
        <f>IF('Raw Scores (0-1)'!M5=1,"Yes",IF('Raw Scores (0-1)'!M5=0.5,"Partial","No"))</f>
        <v>No</v>
      </c>
      <c r="N5" s="22" t="str">
        <f>IF('Raw Scores (0-1)'!N5=1,"Yes",IF('Raw Scores (0-1)'!N5=0.5,"Partial","No"))</f>
        <v>Yes</v>
      </c>
      <c r="O5" s="22" t="str">
        <f>IF('Raw Scores (0-1)'!O5=1,"Yes",IF('Raw Scores (0-1)'!O5=0.5,"Partial","No"))</f>
        <v>Yes</v>
      </c>
      <c r="P5" s="22" t="str">
        <f>IF('Raw Scores (0-1)'!P5=1,"Yes",IF('Raw Scores (0-1)'!P5=0.5,"Partial","No"))</f>
        <v>Yes</v>
      </c>
      <c r="Q5" s="22" t="str">
        <f>IF('Raw Scores (0-1)'!Q5=1,"Yes",IF('Raw Scores (0-1)'!Q5=0.5,"Partial","No"))</f>
        <v>Yes</v>
      </c>
      <c r="R5" s="22" t="str">
        <f>IF('Raw Scores (0-1)'!R5=1,"Yes",IF('Raw Scores (0-1)'!R5=0.5,"Partial","No"))</f>
        <v>Yes</v>
      </c>
      <c r="S5" s="22" t="str">
        <f>IF('Raw Scores (0-1)'!S5=1,"Yes",IF('Raw Scores (0-1)'!S5=0.5,"Partial","No"))</f>
        <v>Yes</v>
      </c>
      <c r="T5" s="22" t="str">
        <f>IF('Raw Scores (0-1)'!T5=1,"Yes",IF('Raw Scores (0-1)'!T5=0.5,"Partial","No"))</f>
        <v>Yes</v>
      </c>
      <c r="U5" s="22" t="str">
        <f>IF('Raw Scores (0-1)'!U5=1,"Yes",IF('Raw Scores (0-1)'!U5=0.5,"Partial","No"))</f>
        <v>Yes</v>
      </c>
      <c r="V5" s="22" t="str">
        <f>IF('Raw Scores (0-1)'!V5=1,"Yes",IF('Raw Scores (0-1)'!V5=0.5,"Partial","No"))</f>
        <v>Yes</v>
      </c>
      <c r="W5" s="22" t="str">
        <f>IF('Raw Scores (0-1)'!W5=1,"Yes",IF('Raw Scores (0-1)'!W5=0.5,"Partial","No"))</f>
        <v>Yes</v>
      </c>
      <c r="X5" s="22" t="str">
        <f>IF('Raw Scores (0-1)'!X5=1,"Yes",IF('Raw Scores (0-1)'!X5=0.5,"Partial","No"))</f>
        <v>Yes</v>
      </c>
      <c r="Y5" s="22" t="str">
        <f>IF('Raw Scores (0-1)'!Y5=1,"Yes",IF('Raw Scores (0-1)'!Y5=0.5,"Partial","No"))</f>
        <v>Yes</v>
      </c>
      <c r="Z5" s="22" t="str">
        <f>IF('Raw Scores (0-1)'!Z5=1,"Yes",IF('Raw Scores (0-1)'!Z5=0.5,"Partial","No"))</f>
        <v>Yes</v>
      </c>
      <c r="AA5" s="22" t="str">
        <f>IF('Raw Scores (0-1)'!AA5=1,"Yes",IF('Raw Scores (0-1)'!AA5=0.5,"Partial","No"))</f>
        <v>Yes</v>
      </c>
      <c r="AB5" s="22" t="str">
        <f>IF('Raw Scores (0-1)'!AB5=1,"Yes",IF('Raw Scores (0-1)'!AB5=0.5,"Partial","No"))</f>
        <v>Yes</v>
      </c>
      <c r="AC5" s="22" t="str">
        <f>IF('Raw Scores (0-1)'!AC5=1,"Yes",IF('Raw Scores (0-1)'!AC5=0.5,"Partial","No"))</f>
        <v>Yes</v>
      </c>
      <c r="AD5" s="22" t="str">
        <f>IF('Raw Scores (0-1)'!AD5=1,"Yes",IF('Raw Scores (0-1)'!AD5=0.5,"Partial","No"))</f>
        <v>No</v>
      </c>
      <c r="AE5" s="22" t="str">
        <f>IF('Raw Scores (0-1)'!AE5=1,"Yes",IF('Raw Scores (0-1)'!AE5=0.5,"Partial","No"))</f>
        <v>Yes</v>
      </c>
      <c r="AF5" s="22" t="str">
        <f>IF('Raw Scores (0-1)'!AF5=1,"Yes",IF('Raw Scores (0-1)'!AF5=0.5,"Partial","No"))</f>
        <v>No</v>
      </c>
      <c r="AG5" s="22" t="str">
        <f>IF('Raw Scores (0-1)'!AG5=1,"Yes",IF('Raw Scores (0-1)'!AG5=0.5,"Partial","No"))</f>
        <v>No</v>
      </c>
      <c r="AH5" s="22" t="str">
        <f>IF('Raw Scores (0-1)'!AH5=1,"Yes",IF('Raw Scores (0-1)'!AH5=0.5,"Partial","No"))</f>
        <v>Yes</v>
      </c>
      <c r="AI5" s="22" t="str">
        <f>IF('Raw Scores (0-1)'!AI5=1,"Yes",IF('Raw Scores (0-1)'!AI5=0.5,"Partial","No"))</f>
        <v>Yes</v>
      </c>
      <c r="AJ5" s="22" t="str">
        <f>IF('Raw Scores (0-1)'!AJ5=1,"Yes",IF('Raw Scores (0-1)'!AJ5=0.5,"Partial","No"))</f>
        <v>Partial</v>
      </c>
      <c r="AK5" s="20">
        <f>'Scores &amp; Ranking'!F5</f>
        <v>15</v>
      </c>
      <c r="AL5" s="20">
        <f>'Scores &amp; Ranking'!G5</f>
        <v>20</v>
      </c>
      <c r="AM5" s="20">
        <f>'Scores &amp; Ranking'!H5</f>
        <v>10</v>
      </c>
      <c r="AN5" s="20">
        <f>'Scores &amp; Ranking'!I5</f>
        <v>3.5</v>
      </c>
      <c r="AO5" s="20">
        <f>'Scores &amp; Ranking'!J5</f>
        <v>8.5</v>
      </c>
      <c r="AP5" s="23">
        <f>'Scores &amp; Ranking'!K5</f>
        <v>57</v>
      </c>
    </row>
    <row r="6">
      <c r="A6" s="12">
        <v>5.0</v>
      </c>
      <c r="B6" s="6" t="s">
        <v>104</v>
      </c>
      <c r="C6" s="12" t="s">
        <v>50</v>
      </c>
      <c r="D6" s="12" t="s">
        <v>105</v>
      </c>
      <c r="E6" s="3" t="s">
        <v>106</v>
      </c>
      <c r="F6" s="22" t="str">
        <f>IF('Raw Scores (0-1)'!F6=1,"Yes",IF('Raw Scores (0-1)'!F6=0.5,"Partial","No"))</f>
        <v>Partial</v>
      </c>
      <c r="G6" s="22" t="str">
        <f>IF('Raw Scores (0-1)'!G6=1,"Yes",IF('Raw Scores (0-1)'!G6=0.5,"Partial","No"))</f>
        <v>No</v>
      </c>
      <c r="H6" s="22" t="str">
        <f>IF('Raw Scores (0-1)'!H6=1,"Yes",IF('Raw Scores (0-1)'!H6=0.5,"Partial","No"))</f>
        <v>Yes</v>
      </c>
      <c r="I6" s="22" t="str">
        <f>IF('Raw Scores (0-1)'!I6=1,"Yes",IF('Raw Scores (0-1)'!I6=0.5,"Partial","No"))</f>
        <v>Partial</v>
      </c>
      <c r="J6" s="22" t="str">
        <f>IF('Raw Scores (0-1)'!J6=1,"Yes",IF('Raw Scores (0-1)'!J6=0.5,"Partial","No"))</f>
        <v>No</v>
      </c>
      <c r="K6" s="22" t="str">
        <f>IF('Raw Scores (0-1)'!K6=1,"Yes",IF('Raw Scores (0-1)'!K6=0.5,"Partial","No"))</f>
        <v>No</v>
      </c>
      <c r="L6" s="22" t="str">
        <f>IF('Raw Scores (0-1)'!L6=1,"Yes",IF('Raw Scores (0-1)'!L6=0.5,"Partial","No"))</f>
        <v>No</v>
      </c>
      <c r="M6" s="22" t="str">
        <f>IF('Raw Scores (0-1)'!M6=1,"Yes",IF('Raw Scores (0-1)'!M6=0.5,"Partial","No"))</f>
        <v>No</v>
      </c>
      <c r="N6" s="22" t="str">
        <f>IF('Raw Scores (0-1)'!N6=1,"Yes",IF('Raw Scores (0-1)'!N6=0.5,"Partial","No"))</f>
        <v>Yes</v>
      </c>
      <c r="O6" s="22" t="str">
        <f>IF('Raw Scores (0-1)'!O6=1,"Yes",IF('Raw Scores (0-1)'!O6=0.5,"Partial","No"))</f>
        <v>Yes</v>
      </c>
      <c r="P6" s="22" t="str">
        <f>IF('Raw Scores (0-1)'!P6=1,"Yes",IF('Raw Scores (0-1)'!P6=0.5,"Partial","No"))</f>
        <v>Yes</v>
      </c>
      <c r="Q6" s="22" t="str">
        <f>IF('Raw Scores (0-1)'!Q6=1,"Yes",IF('Raw Scores (0-1)'!Q6=0.5,"Partial","No"))</f>
        <v>Yes</v>
      </c>
      <c r="R6" s="22" t="str">
        <f>IF('Raw Scores (0-1)'!R6=1,"Yes",IF('Raw Scores (0-1)'!R6=0.5,"Partial","No"))</f>
        <v>Yes</v>
      </c>
      <c r="S6" s="22" t="str">
        <f>IF('Raw Scores (0-1)'!S6=1,"Yes",IF('Raw Scores (0-1)'!S6=0.5,"Partial","No"))</f>
        <v>Yes</v>
      </c>
      <c r="T6" s="22" t="str">
        <f>IF('Raw Scores (0-1)'!T6=1,"Yes",IF('Raw Scores (0-1)'!T6=0.5,"Partial","No"))</f>
        <v>Yes</v>
      </c>
      <c r="U6" s="22" t="str">
        <f>IF('Raw Scores (0-1)'!U6=1,"Yes",IF('Raw Scores (0-1)'!U6=0.5,"Partial","No"))</f>
        <v>Yes</v>
      </c>
      <c r="V6" s="22" t="str">
        <f>IF('Raw Scores (0-1)'!V6=1,"Yes",IF('Raw Scores (0-1)'!V6=0.5,"Partial","No"))</f>
        <v>Yes</v>
      </c>
      <c r="W6" s="22" t="str">
        <f>IF('Raw Scores (0-1)'!W6=1,"Yes",IF('Raw Scores (0-1)'!W6=0.5,"Partial","No"))</f>
        <v>Yes</v>
      </c>
      <c r="X6" s="22" t="str">
        <f>IF('Raw Scores (0-1)'!X6=1,"Yes",IF('Raw Scores (0-1)'!X6=0.5,"Partial","No"))</f>
        <v>Partial</v>
      </c>
      <c r="Y6" s="22" t="str">
        <f>IF('Raw Scores (0-1)'!Y6=1,"Yes",IF('Raw Scores (0-1)'!Y6=0.5,"Partial","No"))</f>
        <v>Partial</v>
      </c>
      <c r="Z6" s="22" t="str">
        <f>IF('Raw Scores (0-1)'!Z6=1,"Yes",IF('Raw Scores (0-1)'!Z6=0.5,"Partial","No"))</f>
        <v>No</v>
      </c>
      <c r="AA6" s="22" t="str">
        <f>IF('Raw Scores (0-1)'!AA6=1,"Yes",IF('Raw Scores (0-1)'!AA6=0.5,"Partial","No"))</f>
        <v>No</v>
      </c>
      <c r="AB6" s="22" t="str">
        <f>IF('Raw Scores (0-1)'!AB6=1,"Yes",IF('Raw Scores (0-1)'!AB6=0.5,"Partial","No"))</f>
        <v>No</v>
      </c>
      <c r="AC6" s="22" t="str">
        <f>IF('Raw Scores (0-1)'!AC6=1,"Yes",IF('Raw Scores (0-1)'!AC6=0.5,"Partial","No"))</f>
        <v>No</v>
      </c>
      <c r="AD6" s="22" t="str">
        <f>IF('Raw Scores (0-1)'!AD6=1,"Yes",IF('Raw Scores (0-1)'!AD6=0.5,"Partial","No"))</f>
        <v>Yes</v>
      </c>
      <c r="AE6" s="22" t="str">
        <f>IF('Raw Scores (0-1)'!AE6=1,"Yes",IF('Raw Scores (0-1)'!AE6=0.5,"Partial","No"))</f>
        <v>No</v>
      </c>
      <c r="AF6" s="22" t="str">
        <f>IF('Raw Scores (0-1)'!AF6=1,"Yes",IF('Raw Scores (0-1)'!AF6=0.5,"Partial","No"))</f>
        <v>Yes</v>
      </c>
      <c r="AG6" s="22" t="str">
        <f>IF('Raw Scores (0-1)'!AG6=1,"Yes",IF('Raw Scores (0-1)'!AG6=0.5,"Partial","No"))</f>
        <v>Partial</v>
      </c>
      <c r="AH6" s="22" t="str">
        <f>IF('Raw Scores (0-1)'!AH6=1,"Yes",IF('Raw Scores (0-1)'!AH6=0.5,"Partial","No"))</f>
        <v>Yes</v>
      </c>
      <c r="AI6" s="22" t="str">
        <f>IF('Raw Scores (0-1)'!AI6=1,"Yes",IF('Raw Scores (0-1)'!AI6=0.5,"Partial","No"))</f>
        <v>Partial</v>
      </c>
      <c r="AJ6" s="22" t="str">
        <f>IF('Raw Scores (0-1)'!AJ6=1,"Yes",IF('Raw Scores (0-1)'!AJ6=0.5,"Partial","No"))</f>
        <v>No</v>
      </c>
      <c r="AK6" s="20">
        <f>'Scores &amp; Ranking'!F6</f>
        <v>15</v>
      </c>
      <c r="AL6" s="20">
        <f>'Scores &amp; Ranking'!G6</f>
        <v>20</v>
      </c>
      <c r="AM6" s="20">
        <f>'Scores &amp; Ranking'!H6</f>
        <v>2</v>
      </c>
      <c r="AN6" s="20">
        <f>'Scores &amp; Ranking'!I6</f>
        <v>5</v>
      </c>
      <c r="AO6" s="20">
        <f>'Scores &amp; Ranking'!J6</f>
        <v>5</v>
      </c>
      <c r="AP6" s="23">
        <f>'Scores &amp; Ranking'!K6</f>
        <v>47</v>
      </c>
    </row>
    <row r="7">
      <c r="A7" s="12">
        <v>6.0</v>
      </c>
      <c r="B7" s="6" t="s">
        <v>109</v>
      </c>
      <c r="C7" s="12" t="s">
        <v>50</v>
      </c>
      <c r="D7" s="12" t="s">
        <v>110</v>
      </c>
      <c r="E7" s="3" t="s">
        <v>111</v>
      </c>
      <c r="F7" s="22" t="str">
        <f>IF('Raw Scores (0-1)'!F7=1,"Yes",IF('Raw Scores (0-1)'!F7=0.5,"Partial","No"))</f>
        <v>Partial</v>
      </c>
      <c r="G7" s="22" t="str">
        <f>IF('Raw Scores (0-1)'!G7=1,"Yes",IF('Raw Scores (0-1)'!G7=0.5,"Partial","No"))</f>
        <v>No</v>
      </c>
      <c r="H7" s="22" t="str">
        <f>IF('Raw Scores (0-1)'!H7=1,"Yes",IF('Raw Scores (0-1)'!H7=0.5,"Partial","No"))</f>
        <v>No</v>
      </c>
      <c r="I7" s="22" t="str">
        <f>IF('Raw Scores (0-1)'!I7=1,"Yes",IF('Raw Scores (0-1)'!I7=0.5,"Partial","No"))</f>
        <v>No</v>
      </c>
      <c r="J7" s="22" t="str">
        <f>IF('Raw Scores (0-1)'!J7=1,"Yes",IF('Raw Scores (0-1)'!J7=0.5,"Partial","No"))</f>
        <v>Yes</v>
      </c>
      <c r="K7" s="22" t="str">
        <f>IF('Raw Scores (0-1)'!K7=1,"Yes",IF('Raw Scores (0-1)'!K7=0.5,"Partial","No"))</f>
        <v>No</v>
      </c>
      <c r="L7" s="22" t="str">
        <f>IF('Raw Scores (0-1)'!L7=1,"Yes",IF('Raw Scores (0-1)'!L7=0.5,"Partial","No"))</f>
        <v>No</v>
      </c>
      <c r="M7" s="22" t="str">
        <f>IF('Raw Scores (0-1)'!M7=1,"Yes",IF('Raw Scores (0-1)'!M7=0.5,"Partial","No"))</f>
        <v>Yes</v>
      </c>
      <c r="N7" s="22" t="str">
        <f>IF('Raw Scores (0-1)'!N7=1,"Yes",IF('Raw Scores (0-1)'!N7=0.5,"Partial","No"))</f>
        <v>Yes</v>
      </c>
      <c r="O7" s="22" t="str">
        <f>IF('Raw Scores (0-1)'!O7=1,"Yes",IF('Raw Scores (0-1)'!O7=0.5,"Partial","No"))</f>
        <v>Yes</v>
      </c>
      <c r="P7" s="22" t="str">
        <f>IF('Raw Scores (0-1)'!P7=1,"Yes",IF('Raw Scores (0-1)'!P7=0.5,"Partial","No"))</f>
        <v>Yes</v>
      </c>
      <c r="Q7" s="22" t="str">
        <f>IF('Raw Scores (0-1)'!Q7=1,"Yes",IF('Raw Scores (0-1)'!Q7=0.5,"Partial","No"))</f>
        <v>Yes</v>
      </c>
      <c r="R7" s="22" t="str">
        <f>IF('Raw Scores (0-1)'!R7=1,"Yes",IF('Raw Scores (0-1)'!R7=0.5,"Partial","No"))</f>
        <v>Yes</v>
      </c>
      <c r="S7" s="22" t="str">
        <f>IF('Raw Scores (0-1)'!S7=1,"Yes",IF('Raw Scores (0-1)'!S7=0.5,"Partial","No"))</f>
        <v>Yes</v>
      </c>
      <c r="T7" s="22" t="str">
        <f>IF('Raw Scores (0-1)'!T7=1,"Yes",IF('Raw Scores (0-1)'!T7=0.5,"Partial","No"))</f>
        <v>Yes</v>
      </c>
      <c r="U7" s="22" t="str">
        <f>IF('Raw Scores (0-1)'!U7=1,"Yes",IF('Raw Scores (0-1)'!U7=0.5,"Partial","No"))</f>
        <v>Yes</v>
      </c>
      <c r="V7" s="22" t="str">
        <f>IF('Raw Scores (0-1)'!V7=1,"Yes",IF('Raw Scores (0-1)'!V7=0.5,"Partial","No"))</f>
        <v>Partial</v>
      </c>
      <c r="W7" s="22" t="str">
        <f>IF('Raw Scores (0-1)'!W7=1,"Yes",IF('Raw Scores (0-1)'!W7=0.5,"Partial","No"))</f>
        <v>Yes</v>
      </c>
      <c r="X7" s="22" t="str">
        <f>IF('Raw Scores (0-1)'!X7=1,"Yes",IF('Raw Scores (0-1)'!X7=0.5,"Partial","No"))</f>
        <v>Yes</v>
      </c>
      <c r="Y7" s="22" t="str">
        <f>IF('Raw Scores (0-1)'!Y7=1,"Yes",IF('Raw Scores (0-1)'!Y7=0.5,"Partial","No"))</f>
        <v>Yes</v>
      </c>
      <c r="Z7" s="22" t="str">
        <f>IF('Raw Scores (0-1)'!Z7=1,"Yes",IF('Raw Scores (0-1)'!Z7=0.5,"Partial","No"))</f>
        <v>Yes</v>
      </c>
      <c r="AA7" s="22" t="str">
        <f>IF('Raw Scores (0-1)'!AA7=1,"Yes",IF('Raw Scores (0-1)'!AA7=0.5,"Partial","No"))</f>
        <v>Yes</v>
      </c>
      <c r="AB7" s="22" t="str">
        <f>IF('Raw Scores (0-1)'!AB7=1,"Yes",IF('Raw Scores (0-1)'!AB7=0.5,"Partial","No"))</f>
        <v>Yes</v>
      </c>
      <c r="AC7" s="22" t="str">
        <f>IF('Raw Scores (0-1)'!AC7=1,"Yes",IF('Raw Scores (0-1)'!AC7=0.5,"Partial","No"))</f>
        <v>Yes</v>
      </c>
      <c r="AD7" s="22" t="str">
        <f>IF('Raw Scores (0-1)'!AD7=1,"Yes",IF('Raw Scores (0-1)'!AD7=0.5,"Partial","No"))</f>
        <v>Yes</v>
      </c>
      <c r="AE7" s="22" t="str">
        <f>IF('Raw Scores (0-1)'!AE7=1,"Yes",IF('Raw Scores (0-1)'!AE7=0.5,"Partial","No"))</f>
        <v>No</v>
      </c>
      <c r="AF7" s="22" t="str">
        <f>IF('Raw Scores (0-1)'!AF7=1,"Yes",IF('Raw Scores (0-1)'!AF7=0.5,"Partial","No"))</f>
        <v>Yes</v>
      </c>
      <c r="AG7" s="22" t="str">
        <f>IF('Raw Scores (0-1)'!AG7=1,"Yes",IF('Raw Scores (0-1)'!AG7=0.5,"Partial","No"))</f>
        <v>Yes</v>
      </c>
      <c r="AH7" s="22" t="str">
        <f>IF('Raw Scores (0-1)'!AH7=1,"Yes",IF('Raw Scores (0-1)'!AH7=0.5,"Partial","No"))</f>
        <v>No</v>
      </c>
      <c r="AI7" s="22" t="str">
        <f>IF('Raw Scores (0-1)'!AI7=1,"Yes",IF('Raw Scores (0-1)'!AI7=0.5,"Partial","No"))</f>
        <v>No</v>
      </c>
      <c r="AJ7" s="22" t="str">
        <f>IF('Raw Scores (0-1)'!AJ7=1,"Yes",IF('Raw Scores (0-1)'!AJ7=0.5,"Partial","No"))</f>
        <v>No</v>
      </c>
      <c r="AK7" s="20">
        <f>'Scores &amp; Ranking'!F7</f>
        <v>17.5</v>
      </c>
      <c r="AL7" s="20">
        <f>'Scores &amp; Ranking'!G7</f>
        <v>19</v>
      </c>
      <c r="AM7" s="20">
        <f>'Scores &amp; Ranking'!H7</f>
        <v>10</v>
      </c>
      <c r="AN7" s="20">
        <f>'Scores &amp; Ranking'!I7</f>
        <v>8</v>
      </c>
      <c r="AO7" s="20">
        <f>'Scores &amp; Ranking'!J7</f>
        <v>0</v>
      </c>
      <c r="AP7" s="23">
        <f>'Scores &amp; Ranking'!K7</f>
        <v>54.5</v>
      </c>
    </row>
    <row r="8">
      <c r="A8" s="12">
        <v>7.0</v>
      </c>
      <c r="B8" s="6" t="s">
        <v>112</v>
      </c>
      <c r="C8" s="12" t="s">
        <v>113</v>
      </c>
      <c r="D8" s="12" t="s">
        <v>51</v>
      </c>
      <c r="E8" s="3" t="s">
        <v>114</v>
      </c>
      <c r="F8" s="22" t="str">
        <f>IF('Raw Scores (0-1)'!F8=1,"Yes",IF('Raw Scores (0-1)'!F8=0.5,"Partial","No"))</f>
        <v>No</v>
      </c>
      <c r="G8" s="22" t="str">
        <f>IF('Raw Scores (0-1)'!G8=1,"Yes",IF('Raw Scores (0-1)'!G8=0.5,"Partial","No"))</f>
        <v>No</v>
      </c>
      <c r="H8" s="22" t="str">
        <f>IF('Raw Scores (0-1)'!H8=1,"Yes",IF('Raw Scores (0-1)'!H8=0.5,"Partial","No"))</f>
        <v>No</v>
      </c>
      <c r="I8" s="22" t="str">
        <f>IF('Raw Scores (0-1)'!I8=1,"Yes",IF('Raw Scores (0-1)'!I8=0.5,"Partial","No"))</f>
        <v>No</v>
      </c>
      <c r="J8" s="22" t="str">
        <f>IF('Raw Scores (0-1)'!J8=1,"Yes",IF('Raw Scores (0-1)'!J8=0.5,"Partial","No"))</f>
        <v>Yes</v>
      </c>
      <c r="K8" s="22" t="str">
        <f>IF('Raw Scores (0-1)'!K8=1,"Yes",IF('Raw Scores (0-1)'!K8=0.5,"Partial","No"))</f>
        <v>No</v>
      </c>
      <c r="L8" s="22" t="str">
        <f>IF('Raw Scores (0-1)'!L8=1,"Yes",IF('Raw Scores (0-1)'!L8=0.5,"Partial","No"))</f>
        <v>No</v>
      </c>
      <c r="M8" s="22" t="str">
        <f>IF('Raw Scores (0-1)'!M8=1,"Yes",IF('Raw Scores (0-1)'!M8=0.5,"Partial","No"))</f>
        <v>Yes</v>
      </c>
      <c r="N8" s="22" t="str">
        <f>IF('Raw Scores (0-1)'!N8=1,"Yes",IF('Raw Scores (0-1)'!N8=0.5,"Partial","No"))</f>
        <v>Yes</v>
      </c>
      <c r="O8" s="22" t="str">
        <f>IF('Raw Scores (0-1)'!O8=1,"Yes",IF('Raw Scores (0-1)'!O8=0.5,"Partial","No"))</f>
        <v>Yes</v>
      </c>
      <c r="P8" s="22" t="str">
        <f>IF('Raw Scores (0-1)'!P8=1,"Yes",IF('Raw Scores (0-1)'!P8=0.5,"Partial","No"))</f>
        <v>Yes</v>
      </c>
      <c r="Q8" s="22" t="str">
        <f>IF('Raw Scores (0-1)'!Q8=1,"Yes",IF('Raw Scores (0-1)'!Q8=0.5,"Partial","No"))</f>
        <v>Yes</v>
      </c>
      <c r="R8" s="22" t="str">
        <f>IF('Raw Scores (0-1)'!R8=1,"Yes",IF('Raw Scores (0-1)'!R8=0.5,"Partial","No"))</f>
        <v>Yes</v>
      </c>
      <c r="S8" s="22" t="str">
        <f>IF('Raw Scores (0-1)'!S8=1,"Yes",IF('Raw Scores (0-1)'!S8=0.5,"Partial","No"))</f>
        <v>Yes</v>
      </c>
      <c r="T8" s="22" t="str">
        <f>IF('Raw Scores (0-1)'!T8=1,"Yes",IF('Raw Scores (0-1)'!T8=0.5,"Partial","No"))</f>
        <v>Yes</v>
      </c>
      <c r="U8" s="22" t="str">
        <f>IF('Raw Scores (0-1)'!U8=1,"Yes",IF('Raw Scores (0-1)'!U8=0.5,"Partial","No"))</f>
        <v>Yes</v>
      </c>
      <c r="V8" s="22" t="str">
        <f>IF('Raw Scores (0-1)'!V8=1,"Yes",IF('Raw Scores (0-1)'!V8=0.5,"Partial","No"))</f>
        <v>Yes</v>
      </c>
      <c r="W8" s="22" t="str">
        <f>IF('Raw Scores (0-1)'!W8=1,"Yes",IF('Raw Scores (0-1)'!W8=0.5,"Partial","No"))</f>
        <v>Yes</v>
      </c>
      <c r="X8" s="22" t="str">
        <f>IF('Raw Scores (0-1)'!X8=1,"Yes",IF('Raw Scores (0-1)'!X8=0.5,"Partial","No"))</f>
        <v>Yes</v>
      </c>
      <c r="Y8" s="22" t="str">
        <f>IF('Raw Scores (0-1)'!Y8=1,"Yes",IF('Raw Scores (0-1)'!Y8=0.5,"Partial","No"))</f>
        <v>Yes</v>
      </c>
      <c r="Z8" s="22" t="str">
        <f>IF('Raw Scores (0-1)'!Z8=1,"Yes",IF('Raw Scores (0-1)'!Z8=0.5,"Partial","No"))</f>
        <v>Yes</v>
      </c>
      <c r="AA8" s="22" t="str">
        <f>IF('Raw Scores (0-1)'!AA8=1,"Yes",IF('Raw Scores (0-1)'!AA8=0.5,"Partial","No"))</f>
        <v>Yes</v>
      </c>
      <c r="AB8" s="22" t="str">
        <f>IF('Raw Scores (0-1)'!AB8=1,"Yes",IF('Raw Scores (0-1)'!AB8=0.5,"Partial","No"))</f>
        <v>Yes</v>
      </c>
      <c r="AC8" s="22" t="str">
        <f>IF('Raw Scores (0-1)'!AC8=1,"Yes",IF('Raw Scores (0-1)'!AC8=0.5,"Partial","No"))</f>
        <v>Yes</v>
      </c>
      <c r="AD8" s="22" t="str">
        <f>IF('Raw Scores (0-1)'!AD8=1,"Yes",IF('Raw Scores (0-1)'!AD8=0.5,"Partial","No"))</f>
        <v>Yes</v>
      </c>
      <c r="AE8" s="22" t="str">
        <f>IF('Raw Scores (0-1)'!AE8=1,"Yes",IF('Raw Scores (0-1)'!AE8=0.5,"Partial","No"))</f>
        <v>Partial</v>
      </c>
      <c r="AF8" s="22" t="str">
        <f>IF('Raw Scores (0-1)'!AF8=1,"Yes",IF('Raw Scores (0-1)'!AF8=0.5,"Partial","No"))</f>
        <v>Yes</v>
      </c>
      <c r="AG8" s="22" t="str">
        <f>IF('Raw Scores (0-1)'!AG8=1,"Yes",IF('Raw Scores (0-1)'!AG8=0.5,"Partial","No"))</f>
        <v>Yes</v>
      </c>
      <c r="AH8" s="22" t="str">
        <f>IF('Raw Scores (0-1)'!AH8=1,"Yes",IF('Raw Scores (0-1)'!AH8=0.5,"Partial","No"))</f>
        <v>No</v>
      </c>
      <c r="AI8" s="22" t="str">
        <f>IF('Raw Scores (0-1)'!AI8=1,"Yes",IF('Raw Scores (0-1)'!AI8=0.5,"Partial","No"))</f>
        <v>No</v>
      </c>
      <c r="AJ8" s="22" t="str">
        <f>IF('Raw Scores (0-1)'!AJ8=1,"Yes",IF('Raw Scores (0-1)'!AJ8=0.5,"Partial","No"))</f>
        <v>No</v>
      </c>
      <c r="AK8" s="20">
        <f>'Scores &amp; Ranking'!F8</f>
        <v>10</v>
      </c>
      <c r="AL8" s="20">
        <f>'Scores &amp; Ranking'!G8</f>
        <v>20</v>
      </c>
      <c r="AM8" s="20">
        <f>'Scores &amp; Ranking'!H8</f>
        <v>10</v>
      </c>
      <c r="AN8" s="20">
        <f>'Scores &amp; Ranking'!I8</f>
        <v>9</v>
      </c>
      <c r="AO8" s="20">
        <f>'Scores &amp; Ranking'!J8</f>
        <v>0</v>
      </c>
      <c r="AP8" s="23">
        <f>'Scores &amp; Ranking'!K8</f>
        <v>49</v>
      </c>
    </row>
    <row r="9">
      <c r="A9" s="12">
        <v>8.0</v>
      </c>
      <c r="B9" s="6" t="s">
        <v>115</v>
      </c>
      <c r="C9" s="12" t="s">
        <v>50</v>
      </c>
      <c r="D9" s="12" t="s">
        <v>116</v>
      </c>
      <c r="E9" s="3" t="s">
        <v>117</v>
      </c>
      <c r="F9" s="22" t="str">
        <f>IF('Raw Scores (0-1)'!F9=1,"Yes",IF('Raw Scores (0-1)'!F9=0.5,"Partial","No"))</f>
        <v>Partial</v>
      </c>
      <c r="G9" s="22" t="str">
        <f>IF('Raw Scores (0-1)'!G9=1,"Yes",IF('Raw Scores (0-1)'!G9=0.5,"Partial","No"))</f>
        <v>No</v>
      </c>
      <c r="H9" s="22" t="str">
        <f>IF('Raw Scores (0-1)'!H9=1,"Yes",IF('Raw Scores (0-1)'!H9=0.5,"Partial","No"))</f>
        <v>Partial</v>
      </c>
      <c r="I9" s="22" t="str">
        <f>IF('Raw Scores (0-1)'!I9=1,"Yes",IF('Raw Scores (0-1)'!I9=0.5,"Partial","No"))</f>
        <v>Yes</v>
      </c>
      <c r="J9" s="22" t="str">
        <f>IF('Raw Scores (0-1)'!J9=1,"Yes",IF('Raw Scores (0-1)'!J9=0.5,"Partial","No"))</f>
        <v>Yes</v>
      </c>
      <c r="K9" s="22" t="str">
        <f>IF('Raw Scores (0-1)'!K9=1,"Yes",IF('Raw Scores (0-1)'!K9=0.5,"Partial","No"))</f>
        <v>No</v>
      </c>
      <c r="L9" s="22" t="str">
        <f>IF('Raw Scores (0-1)'!L9=1,"Yes",IF('Raw Scores (0-1)'!L9=0.5,"Partial","No"))</f>
        <v>No</v>
      </c>
      <c r="M9" s="22" t="str">
        <f>IF('Raw Scores (0-1)'!M9=1,"Yes",IF('Raw Scores (0-1)'!M9=0.5,"Partial","No"))</f>
        <v>No</v>
      </c>
      <c r="N9" s="22" t="str">
        <f>IF('Raw Scores (0-1)'!N9=1,"Yes",IF('Raw Scores (0-1)'!N9=0.5,"Partial","No"))</f>
        <v>Yes</v>
      </c>
      <c r="O9" s="22" t="str">
        <f>IF('Raw Scores (0-1)'!O9=1,"Yes",IF('Raw Scores (0-1)'!O9=0.5,"Partial","No"))</f>
        <v>Yes</v>
      </c>
      <c r="P9" s="22" t="str">
        <f>IF('Raw Scores (0-1)'!P9=1,"Yes",IF('Raw Scores (0-1)'!P9=0.5,"Partial","No"))</f>
        <v>Yes</v>
      </c>
      <c r="Q9" s="22" t="str">
        <f>IF('Raw Scores (0-1)'!Q9=1,"Yes",IF('Raw Scores (0-1)'!Q9=0.5,"Partial","No"))</f>
        <v>Yes</v>
      </c>
      <c r="R9" s="22" t="str">
        <f>IF('Raw Scores (0-1)'!R9=1,"Yes",IF('Raw Scores (0-1)'!R9=0.5,"Partial","No"))</f>
        <v>Yes</v>
      </c>
      <c r="S9" s="22" t="str">
        <f>IF('Raw Scores (0-1)'!S9=1,"Yes",IF('Raw Scores (0-1)'!S9=0.5,"Partial","No"))</f>
        <v>Yes</v>
      </c>
      <c r="T9" s="22" t="str">
        <f>IF('Raw Scores (0-1)'!T9=1,"Yes",IF('Raw Scores (0-1)'!T9=0.5,"Partial","No"))</f>
        <v>Yes</v>
      </c>
      <c r="U9" s="22" t="str">
        <f>IF('Raw Scores (0-1)'!U9=1,"Yes",IF('Raw Scores (0-1)'!U9=0.5,"Partial","No"))</f>
        <v>Yes</v>
      </c>
      <c r="V9" s="22" t="str">
        <f>IF('Raw Scores (0-1)'!V9=1,"Yes",IF('Raw Scores (0-1)'!V9=0.5,"Partial","No"))</f>
        <v>Yes</v>
      </c>
      <c r="W9" s="22" t="str">
        <f>IF('Raw Scores (0-1)'!W9=1,"Yes",IF('Raw Scores (0-1)'!W9=0.5,"Partial","No"))</f>
        <v>Yes</v>
      </c>
      <c r="X9" s="22" t="str">
        <f>IF('Raw Scores (0-1)'!X9=1,"Yes",IF('Raw Scores (0-1)'!X9=0.5,"Partial","No"))</f>
        <v>Yes</v>
      </c>
      <c r="Y9" s="22" t="str">
        <f>IF('Raw Scores (0-1)'!Y9=1,"Yes",IF('Raw Scores (0-1)'!Y9=0.5,"Partial","No"))</f>
        <v>Yes</v>
      </c>
      <c r="Z9" s="22" t="str">
        <f>IF('Raw Scores (0-1)'!Z9=1,"Yes",IF('Raw Scores (0-1)'!Z9=0.5,"Partial","No"))</f>
        <v>Yes</v>
      </c>
      <c r="AA9" s="22" t="str">
        <f>IF('Raw Scores (0-1)'!AA9=1,"Yes",IF('Raw Scores (0-1)'!AA9=0.5,"Partial","No"))</f>
        <v>Yes</v>
      </c>
      <c r="AB9" s="22" t="str">
        <f>IF('Raw Scores (0-1)'!AB9=1,"Yes",IF('Raw Scores (0-1)'!AB9=0.5,"Partial","No"))</f>
        <v>Yes</v>
      </c>
      <c r="AC9" s="22" t="str">
        <f>IF('Raw Scores (0-1)'!AC9=1,"Yes",IF('Raw Scores (0-1)'!AC9=0.5,"Partial","No"))</f>
        <v>Yes</v>
      </c>
      <c r="AD9" s="22" t="str">
        <f>IF('Raw Scores (0-1)'!AD9=1,"Yes",IF('Raw Scores (0-1)'!AD9=0.5,"Partial","No"))</f>
        <v>Yes</v>
      </c>
      <c r="AE9" s="22" t="str">
        <f>IF('Raw Scores (0-1)'!AE9=1,"Yes",IF('Raw Scores (0-1)'!AE9=0.5,"Partial","No"))</f>
        <v>Yes</v>
      </c>
      <c r="AF9" s="22" t="str">
        <f>IF('Raw Scores (0-1)'!AF9=1,"Yes",IF('Raw Scores (0-1)'!AF9=0.5,"Partial","No"))</f>
        <v>Yes</v>
      </c>
      <c r="AG9" s="22" t="str">
        <f>IF('Raw Scores (0-1)'!AG9=1,"Yes",IF('Raw Scores (0-1)'!AG9=0.5,"Partial","No"))</f>
        <v>Yes</v>
      </c>
      <c r="AH9" s="22" t="str">
        <f>IF('Raw Scores (0-1)'!AH9=1,"Yes",IF('Raw Scores (0-1)'!AH9=0.5,"Partial","No"))</f>
        <v>Partial</v>
      </c>
      <c r="AI9" s="22" t="str">
        <f>IF('Raw Scores (0-1)'!AI9=1,"Yes",IF('Raw Scores (0-1)'!AI9=0.5,"Partial","No"))</f>
        <v>Yes</v>
      </c>
      <c r="AJ9" s="22" t="str">
        <f>IF('Raw Scores (0-1)'!AJ9=1,"Yes",IF('Raw Scores (0-1)'!AJ9=0.5,"Partial","No"))</f>
        <v>No</v>
      </c>
      <c r="AK9" s="20">
        <f>'Scores &amp; Ranking'!F9</f>
        <v>20</v>
      </c>
      <c r="AL9" s="20">
        <f>'Scores &amp; Ranking'!G9</f>
        <v>20</v>
      </c>
      <c r="AM9" s="20">
        <f>'Scores &amp; Ranking'!H9</f>
        <v>10</v>
      </c>
      <c r="AN9" s="20">
        <f>'Scores &amp; Ranking'!I9</f>
        <v>10</v>
      </c>
      <c r="AO9" s="20">
        <f>'Scores &amp; Ranking'!J9</f>
        <v>5.5</v>
      </c>
      <c r="AP9" s="23">
        <f>'Scores &amp; Ranking'!K9</f>
        <v>65.5</v>
      </c>
    </row>
    <row r="10">
      <c r="A10" s="12">
        <v>9.0</v>
      </c>
      <c r="B10" s="6" t="s">
        <v>118</v>
      </c>
      <c r="C10" s="12" t="s">
        <v>119</v>
      </c>
      <c r="D10" s="12" t="s">
        <v>120</v>
      </c>
      <c r="E10" s="3" t="s">
        <v>121</v>
      </c>
      <c r="F10" s="22" t="str">
        <f>IF('Raw Scores (0-1)'!F10=1,"Yes",IF('Raw Scores (0-1)'!F10=0.5,"Partial","No"))</f>
        <v>No</v>
      </c>
      <c r="G10" s="22" t="str">
        <f>IF('Raw Scores (0-1)'!G10=1,"Yes",IF('Raw Scores (0-1)'!G10=0.5,"Partial","No"))</f>
        <v>No</v>
      </c>
      <c r="H10" s="22" t="str">
        <f>IF('Raw Scores (0-1)'!H10=1,"Yes",IF('Raw Scores (0-1)'!H10=0.5,"Partial","No"))</f>
        <v>No</v>
      </c>
      <c r="I10" s="22" t="str">
        <f>IF('Raw Scores (0-1)'!I10=1,"Yes",IF('Raw Scores (0-1)'!I10=0.5,"Partial","No"))</f>
        <v>No</v>
      </c>
      <c r="J10" s="22" t="str">
        <f>IF('Raw Scores (0-1)'!J10=1,"Yes",IF('Raw Scores (0-1)'!J10=0.5,"Partial","No"))</f>
        <v>Yes</v>
      </c>
      <c r="K10" s="22" t="str">
        <f>IF('Raw Scores (0-1)'!K10=1,"Yes",IF('Raw Scores (0-1)'!K10=0.5,"Partial","No"))</f>
        <v>No</v>
      </c>
      <c r="L10" s="22" t="str">
        <f>IF('Raw Scores (0-1)'!L10=1,"Yes",IF('Raw Scores (0-1)'!L10=0.5,"Partial","No"))</f>
        <v>No</v>
      </c>
      <c r="M10" s="22" t="str">
        <f>IF('Raw Scores (0-1)'!M10=1,"Yes",IF('Raw Scores (0-1)'!M10=0.5,"Partial","No"))</f>
        <v>No</v>
      </c>
      <c r="N10" s="22" t="str">
        <f>IF('Raw Scores (0-1)'!N10=1,"Yes",IF('Raw Scores (0-1)'!N10=0.5,"Partial","No"))</f>
        <v>Yes</v>
      </c>
      <c r="O10" s="22" t="str">
        <f>IF('Raw Scores (0-1)'!O10=1,"Yes",IF('Raw Scores (0-1)'!O10=0.5,"Partial","No"))</f>
        <v>Yes</v>
      </c>
      <c r="P10" s="22" t="str">
        <f>IF('Raw Scores (0-1)'!P10=1,"Yes",IF('Raw Scores (0-1)'!P10=0.5,"Partial","No"))</f>
        <v>Yes</v>
      </c>
      <c r="Q10" s="22" t="str">
        <f>IF('Raw Scores (0-1)'!Q10=1,"Yes",IF('Raw Scores (0-1)'!Q10=0.5,"Partial","No"))</f>
        <v>Yes</v>
      </c>
      <c r="R10" s="22" t="str">
        <f>IF('Raw Scores (0-1)'!R10=1,"Yes",IF('Raw Scores (0-1)'!R10=0.5,"Partial","No"))</f>
        <v>Yes</v>
      </c>
      <c r="S10" s="22" t="str">
        <f>IF('Raw Scores (0-1)'!S10=1,"Yes",IF('Raw Scores (0-1)'!S10=0.5,"Partial","No"))</f>
        <v>Yes</v>
      </c>
      <c r="T10" s="22" t="str">
        <f>IF('Raw Scores (0-1)'!T10=1,"Yes",IF('Raw Scores (0-1)'!T10=0.5,"Partial","No"))</f>
        <v>Yes</v>
      </c>
      <c r="U10" s="22" t="str">
        <f>IF('Raw Scores (0-1)'!U10=1,"Yes",IF('Raw Scores (0-1)'!U10=0.5,"Partial","No"))</f>
        <v>Yes</v>
      </c>
      <c r="V10" s="22" t="str">
        <f>IF('Raw Scores (0-1)'!V10=1,"Yes",IF('Raw Scores (0-1)'!V10=0.5,"Partial","No"))</f>
        <v>Yes</v>
      </c>
      <c r="W10" s="22" t="str">
        <f>IF('Raw Scores (0-1)'!W10=1,"Yes",IF('Raw Scores (0-1)'!W10=0.5,"Partial","No"))</f>
        <v>Yes</v>
      </c>
      <c r="X10" s="22" t="str">
        <f>IF('Raw Scores (0-1)'!X10=1,"Yes",IF('Raw Scores (0-1)'!X10=0.5,"Partial","No"))</f>
        <v>Yes</v>
      </c>
      <c r="Y10" s="22" t="str">
        <f>IF('Raw Scores (0-1)'!Y10=1,"Yes",IF('Raw Scores (0-1)'!Y10=0.5,"Partial","No"))</f>
        <v>Yes</v>
      </c>
      <c r="Z10" s="22" t="str">
        <f>IF('Raw Scores (0-1)'!Z10=1,"Yes",IF('Raw Scores (0-1)'!Z10=0.5,"Partial","No"))</f>
        <v>Yes</v>
      </c>
      <c r="AA10" s="22" t="str">
        <f>IF('Raw Scores (0-1)'!AA10=1,"Yes",IF('Raw Scores (0-1)'!AA10=0.5,"Partial","No"))</f>
        <v>Yes</v>
      </c>
      <c r="AB10" s="22" t="str">
        <f>IF('Raw Scores (0-1)'!AB10=1,"Yes",IF('Raw Scores (0-1)'!AB10=0.5,"Partial","No"))</f>
        <v>Yes</v>
      </c>
      <c r="AC10" s="22" t="str">
        <f>IF('Raw Scores (0-1)'!AC10=1,"Yes",IF('Raw Scores (0-1)'!AC10=0.5,"Partial","No"))</f>
        <v>Yes</v>
      </c>
      <c r="AD10" s="22" t="str">
        <f>IF('Raw Scores (0-1)'!AD10=1,"Yes",IF('Raw Scores (0-1)'!AD10=0.5,"Partial","No"))</f>
        <v>Yes</v>
      </c>
      <c r="AE10" s="22" t="str">
        <f>IF('Raw Scores (0-1)'!AE10=1,"Yes",IF('Raw Scores (0-1)'!AE10=0.5,"Partial","No"))</f>
        <v>Yes</v>
      </c>
      <c r="AF10" s="22" t="str">
        <f>IF('Raw Scores (0-1)'!AF10=1,"Yes",IF('Raw Scores (0-1)'!AF10=0.5,"Partial","No"))</f>
        <v>Yes</v>
      </c>
      <c r="AG10" s="22" t="str">
        <f>IF('Raw Scores (0-1)'!AG10=1,"Yes",IF('Raw Scores (0-1)'!AG10=0.5,"Partial","No"))</f>
        <v>Yes</v>
      </c>
      <c r="AH10" s="22" t="str">
        <f>IF('Raw Scores (0-1)'!AH10=1,"Yes",IF('Raw Scores (0-1)'!AH10=0.5,"Partial","No"))</f>
        <v>Yes</v>
      </c>
      <c r="AI10" s="22" t="str">
        <f>IF('Raw Scores (0-1)'!AI10=1,"Yes",IF('Raw Scores (0-1)'!AI10=0.5,"Partial","No"))</f>
        <v>Yes</v>
      </c>
      <c r="AJ10" s="22" t="str">
        <f>IF('Raw Scores (0-1)'!AJ10=1,"Yes",IF('Raw Scores (0-1)'!AJ10=0.5,"Partial","No"))</f>
        <v>No</v>
      </c>
      <c r="AK10" s="20">
        <f>'Scores &amp; Ranking'!F10</f>
        <v>5</v>
      </c>
      <c r="AL10" s="20">
        <f>'Scores &amp; Ranking'!G10</f>
        <v>20</v>
      </c>
      <c r="AM10" s="20">
        <f>'Scores &amp; Ranking'!H10</f>
        <v>10</v>
      </c>
      <c r="AN10" s="20">
        <f>'Scores &amp; Ranking'!I10</f>
        <v>10</v>
      </c>
      <c r="AO10" s="20">
        <f>'Scores &amp; Ranking'!J10</f>
        <v>7</v>
      </c>
      <c r="AP10" s="23">
        <f>'Scores &amp; Ranking'!K10</f>
        <v>52</v>
      </c>
    </row>
    <row r="11">
      <c r="A11" s="12">
        <v>10.0</v>
      </c>
      <c r="B11" s="6" t="s">
        <v>122</v>
      </c>
      <c r="C11" s="12" t="s">
        <v>119</v>
      </c>
      <c r="D11" s="12" t="s">
        <v>123</v>
      </c>
      <c r="E11" s="3" t="s">
        <v>124</v>
      </c>
      <c r="F11" s="22" t="str">
        <f>IF('Raw Scores (0-1)'!F11=1,"Yes",IF('Raw Scores (0-1)'!F11=0.5,"Partial","No"))</f>
        <v>No</v>
      </c>
      <c r="G11" s="22" t="str">
        <f>IF('Raw Scores (0-1)'!G11=1,"Yes",IF('Raw Scores (0-1)'!G11=0.5,"Partial","No"))</f>
        <v>No</v>
      </c>
      <c r="H11" s="22" t="str">
        <f>IF('Raw Scores (0-1)'!H11=1,"Yes",IF('Raw Scores (0-1)'!H11=0.5,"Partial","No"))</f>
        <v>No</v>
      </c>
      <c r="I11" s="22" t="str">
        <f>IF('Raw Scores (0-1)'!I11=1,"Yes",IF('Raw Scores (0-1)'!I11=0.5,"Partial","No"))</f>
        <v>No</v>
      </c>
      <c r="J11" s="22" t="str">
        <f>IF('Raw Scores (0-1)'!J11=1,"Yes",IF('Raw Scores (0-1)'!J11=0.5,"Partial","No"))</f>
        <v>Yes</v>
      </c>
      <c r="K11" s="22" t="str">
        <f>IF('Raw Scores (0-1)'!K11=1,"Yes",IF('Raw Scores (0-1)'!K11=0.5,"Partial","No"))</f>
        <v>No</v>
      </c>
      <c r="L11" s="22" t="str">
        <f>IF('Raw Scores (0-1)'!L11=1,"Yes",IF('Raw Scores (0-1)'!L11=0.5,"Partial","No"))</f>
        <v>No</v>
      </c>
      <c r="M11" s="22" t="str">
        <f>IF('Raw Scores (0-1)'!M11=1,"Yes",IF('Raw Scores (0-1)'!M11=0.5,"Partial","No"))</f>
        <v>No</v>
      </c>
      <c r="N11" s="22" t="str">
        <f>IF('Raw Scores (0-1)'!N11=1,"Yes",IF('Raw Scores (0-1)'!N11=0.5,"Partial","No"))</f>
        <v>Yes</v>
      </c>
      <c r="O11" s="22" t="str">
        <f>IF('Raw Scores (0-1)'!O11=1,"Yes",IF('Raw Scores (0-1)'!O11=0.5,"Partial","No"))</f>
        <v>Yes</v>
      </c>
      <c r="P11" s="22" t="str">
        <f>IF('Raw Scores (0-1)'!P11=1,"Yes",IF('Raw Scores (0-1)'!P11=0.5,"Partial","No"))</f>
        <v>Yes</v>
      </c>
      <c r="Q11" s="22" t="str">
        <f>IF('Raw Scores (0-1)'!Q11=1,"Yes",IF('Raw Scores (0-1)'!Q11=0.5,"Partial","No"))</f>
        <v>Yes</v>
      </c>
      <c r="R11" s="22" t="str">
        <f>IF('Raw Scores (0-1)'!R11=1,"Yes",IF('Raw Scores (0-1)'!R11=0.5,"Partial","No"))</f>
        <v>Yes</v>
      </c>
      <c r="S11" s="22" t="str">
        <f>IF('Raw Scores (0-1)'!S11=1,"Yes",IF('Raw Scores (0-1)'!S11=0.5,"Partial","No"))</f>
        <v>Yes</v>
      </c>
      <c r="T11" s="22" t="str">
        <f>IF('Raw Scores (0-1)'!T11=1,"Yes",IF('Raw Scores (0-1)'!T11=0.5,"Partial","No"))</f>
        <v>Yes</v>
      </c>
      <c r="U11" s="22" t="str">
        <f>IF('Raw Scores (0-1)'!U11=1,"Yes",IF('Raw Scores (0-1)'!U11=0.5,"Partial","No"))</f>
        <v>Yes</v>
      </c>
      <c r="V11" s="22" t="str">
        <f>IF('Raw Scores (0-1)'!V11=1,"Yes",IF('Raw Scores (0-1)'!V11=0.5,"Partial","No"))</f>
        <v>Yes</v>
      </c>
      <c r="W11" s="22" t="str">
        <f>IF('Raw Scores (0-1)'!W11=1,"Yes",IF('Raw Scores (0-1)'!W11=0.5,"Partial","No"))</f>
        <v>Yes</v>
      </c>
      <c r="X11" s="22" t="str">
        <f>IF('Raw Scores (0-1)'!X11=1,"Yes",IF('Raw Scores (0-1)'!X11=0.5,"Partial","No"))</f>
        <v>Yes</v>
      </c>
      <c r="Y11" s="22" t="str">
        <f>IF('Raw Scores (0-1)'!Y11=1,"Yes",IF('Raw Scores (0-1)'!Y11=0.5,"Partial","No"))</f>
        <v>Yes</v>
      </c>
      <c r="Z11" s="22" t="str">
        <f>IF('Raw Scores (0-1)'!Z11=1,"Yes",IF('Raw Scores (0-1)'!Z11=0.5,"Partial","No"))</f>
        <v>Yes</v>
      </c>
      <c r="AA11" s="22" t="str">
        <f>IF('Raw Scores (0-1)'!AA11=1,"Yes",IF('Raw Scores (0-1)'!AA11=0.5,"Partial","No"))</f>
        <v>Yes</v>
      </c>
      <c r="AB11" s="22" t="str">
        <f>IF('Raw Scores (0-1)'!AB11=1,"Yes",IF('Raw Scores (0-1)'!AB11=0.5,"Partial","No"))</f>
        <v>Yes</v>
      </c>
      <c r="AC11" s="22" t="str">
        <f>IF('Raw Scores (0-1)'!AC11=1,"Yes",IF('Raw Scores (0-1)'!AC11=0.5,"Partial","No"))</f>
        <v>Yes</v>
      </c>
      <c r="AD11" s="22" t="str">
        <f>IF('Raw Scores (0-1)'!AD11=1,"Yes",IF('Raw Scores (0-1)'!AD11=0.5,"Partial","No"))</f>
        <v>Yes</v>
      </c>
      <c r="AE11" s="22" t="str">
        <f>IF('Raw Scores (0-1)'!AE11=1,"Yes",IF('Raw Scores (0-1)'!AE11=0.5,"Partial","No"))</f>
        <v>Yes</v>
      </c>
      <c r="AF11" s="22" t="str">
        <f>IF('Raw Scores (0-1)'!AF11=1,"Yes",IF('Raw Scores (0-1)'!AF11=0.5,"Partial","No"))</f>
        <v>Yes</v>
      </c>
      <c r="AG11" s="22" t="str">
        <f>IF('Raw Scores (0-1)'!AG11=1,"Yes",IF('Raw Scores (0-1)'!AG11=0.5,"Partial","No"))</f>
        <v>Yes</v>
      </c>
      <c r="AH11" s="22" t="str">
        <f>IF('Raw Scores (0-1)'!AH11=1,"Yes",IF('Raw Scores (0-1)'!AH11=0.5,"Partial","No"))</f>
        <v>Yes</v>
      </c>
      <c r="AI11" s="22" t="str">
        <f>IF('Raw Scores (0-1)'!AI11=1,"Yes",IF('Raw Scores (0-1)'!AI11=0.5,"Partial","No"))</f>
        <v>Yes</v>
      </c>
      <c r="AJ11" s="22" t="str">
        <f>IF('Raw Scores (0-1)'!AJ11=1,"Yes",IF('Raw Scores (0-1)'!AJ11=0.5,"Partial","No"))</f>
        <v>No</v>
      </c>
      <c r="AK11" s="20">
        <f>'Scores &amp; Ranking'!F11</f>
        <v>5</v>
      </c>
      <c r="AL11" s="20">
        <f>'Scores &amp; Ranking'!G11</f>
        <v>20</v>
      </c>
      <c r="AM11" s="20">
        <f>'Scores &amp; Ranking'!H11</f>
        <v>10</v>
      </c>
      <c r="AN11" s="20">
        <f>'Scores &amp; Ranking'!I11</f>
        <v>10</v>
      </c>
      <c r="AO11" s="20">
        <f>'Scores &amp; Ranking'!J11</f>
        <v>7</v>
      </c>
      <c r="AP11" s="23">
        <f>'Scores &amp; Ranking'!K11</f>
        <v>52</v>
      </c>
    </row>
    <row r="12">
      <c r="A12" s="12">
        <v>11.0</v>
      </c>
      <c r="B12" s="6" t="s">
        <v>125</v>
      </c>
      <c r="C12" s="12" t="s">
        <v>50</v>
      </c>
      <c r="D12" s="12" t="s">
        <v>126</v>
      </c>
      <c r="E12" s="3" t="s">
        <v>127</v>
      </c>
      <c r="F12" s="22" t="str">
        <f>IF('Raw Scores (0-1)'!F12=1,"Yes",IF('Raw Scores (0-1)'!F12=0.5,"Partial","No"))</f>
        <v>Yes</v>
      </c>
      <c r="G12" s="22" t="str">
        <f>IF('Raw Scores (0-1)'!G12=1,"Yes",IF('Raw Scores (0-1)'!G12=0.5,"Partial","No"))</f>
        <v>No</v>
      </c>
      <c r="H12" s="22" t="str">
        <f>IF('Raw Scores (0-1)'!H12=1,"Yes",IF('Raw Scores (0-1)'!H12=0.5,"Partial","No"))</f>
        <v>No</v>
      </c>
      <c r="I12" s="22" t="str">
        <f>IF('Raw Scores (0-1)'!I12=1,"Yes",IF('Raw Scores (0-1)'!I12=0.5,"Partial","No"))</f>
        <v>No</v>
      </c>
      <c r="J12" s="22" t="str">
        <f>IF('Raw Scores (0-1)'!J12=1,"Yes",IF('Raw Scores (0-1)'!J12=0.5,"Partial","No"))</f>
        <v>No</v>
      </c>
      <c r="K12" s="22" t="str">
        <f>IF('Raw Scores (0-1)'!K12=1,"Yes",IF('Raw Scores (0-1)'!K12=0.5,"Partial","No"))</f>
        <v>Partial</v>
      </c>
      <c r="L12" s="22" t="str">
        <f>IF('Raw Scores (0-1)'!L12=1,"Yes",IF('Raw Scores (0-1)'!L12=0.5,"Partial","No"))</f>
        <v>No</v>
      </c>
      <c r="M12" s="22" t="str">
        <f>IF('Raw Scores (0-1)'!M12=1,"Yes",IF('Raw Scores (0-1)'!M12=0.5,"Partial","No"))</f>
        <v>Yes</v>
      </c>
      <c r="N12" s="22" t="str">
        <f>IF('Raw Scores (0-1)'!N12=1,"Yes",IF('Raw Scores (0-1)'!N12=0.5,"Partial","No"))</f>
        <v>Yes</v>
      </c>
      <c r="O12" s="22" t="str">
        <f>IF('Raw Scores (0-1)'!O12=1,"Yes",IF('Raw Scores (0-1)'!O12=0.5,"Partial","No"))</f>
        <v>Yes</v>
      </c>
      <c r="P12" s="22" t="str">
        <f>IF('Raw Scores (0-1)'!P12=1,"Yes",IF('Raw Scores (0-1)'!P12=0.5,"Partial","No"))</f>
        <v>Yes</v>
      </c>
      <c r="Q12" s="22" t="str">
        <f>IF('Raw Scores (0-1)'!Q12=1,"Yes",IF('Raw Scores (0-1)'!Q12=0.5,"Partial","No"))</f>
        <v>Yes</v>
      </c>
      <c r="R12" s="22" t="str">
        <f>IF('Raw Scores (0-1)'!R12=1,"Yes",IF('Raw Scores (0-1)'!R12=0.5,"Partial","No"))</f>
        <v>Yes</v>
      </c>
      <c r="S12" s="22" t="str">
        <f>IF('Raw Scores (0-1)'!S12=1,"Yes",IF('Raw Scores (0-1)'!S12=0.5,"Partial","No"))</f>
        <v>Yes</v>
      </c>
      <c r="T12" s="22" t="str">
        <f>IF('Raw Scores (0-1)'!T12=1,"Yes",IF('Raw Scores (0-1)'!T12=0.5,"Partial","No"))</f>
        <v>Yes</v>
      </c>
      <c r="U12" s="22" t="str">
        <f>IF('Raw Scores (0-1)'!U12=1,"Yes",IF('Raw Scores (0-1)'!U12=0.5,"Partial","No"))</f>
        <v>Yes</v>
      </c>
      <c r="V12" s="22" t="str">
        <f>IF('Raw Scores (0-1)'!V12=1,"Yes",IF('Raw Scores (0-1)'!V12=0.5,"Partial","No"))</f>
        <v>Yes</v>
      </c>
      <c r="W12" s="22" t="str">
        <f>IF('Raw Scores (0-1)'!W12=1,"Yes",IF('Raw Scores (0-1)'!W12=0.5,"Partial","No"))</f>
        <v>Yes</v>
      </c>
      <c r="X12" s="22" t="str">
        <f>IF('Raw Scores (0-1)'!X12=1,"Yes",IF('Raw Scores (0-1)'!X12=0.5,"Partial","No"))</f>
        <v>Yes</v>
      </c>
      <c r="Y12" s="22" t="str">
        <f>IF('Raw Scores (0-1)'!Y12=1,"Yes",IF('Raw Scores (0-1)'!Y12=0.5,"Partial","No"))</f>
        <v>Yes</v>
      </c>
      <c r="Z12" s="22" t="str">
        <f>IF('Raw Scores (0-1)'!Z12=1,"Yes",IF('Raw Scores (0-1)'!Z12=0.5,"Partial","No"))</f>
        <v>Yes</v>
      </c>
      <c r="AA12" s="22" t="str">
        <f>IF('Raw Scores (0-1)'!AA12=1,"Yes",IF('Raw Scores (0-1)'!AA12=0.5,"Partial","No"))</f>
        <v>Yes</v>
      </c>
      <c r="AB12" s="22" t="str">
        <f>IF('Raw Scores (0-1)'!AB12=1,"Yes",IF('Raw Scores (0-1)'!AB12=0.5,"Partial","No"))</f>
        <v>Yes</v>
      </c>
      <c r="AC12" s="22" t="str">
        <f>IF('Raw Scores (0-1)'!AC12=1,"Yes",IF('Raw Scores (0-1)'!AC12=0.5,"Partial","No"))</f>
        <v>Yes</v>
      </c>
      <c r="AD12" s="22" t="str">
        <f>IF('Raw Scores (0-1)'!AD12=1,"Yes",IF('Raw Scores (0-1)'!AD12=0.5,"Partial","No"))</f>
        <v>Yes</v>
      </c>
      <c r="AE12" s="22" t="str">
        <f>IF('Raw Scores (0-1)'!AE12=1,"Yes",IF('Raw Scores (0-1)'!AE12=0.5,"Partial","No"))</f>
        <v>Yes</v>
      </c>
      <c r="AF12" s="22" t="str">
        <f>IF('Raw Scores (0-1)'!AF12=1,"Yes",IF('Raw Scores (0-1)'!AF12=0.5,"Partial","No"))</f>
        <v>No</v>
      </c>
      <c r="AG12" s="22" t="str">
        <f>IF('Raw Scores (0-1)'!AG12=1,"Yes",IF('Raw Scores (0-1)'!AG12=0.5,"Partial","No"))</f>
        <v>Yes</v>
      </c>
      <c r="AH12" s="22" t="str">
        <f>IF('Raw Scores (0-1)'!AH12=1,"Yes",IF('Raw Scores (0-1)'!AH12=0.5,"Partial","No"))</f>
        <v>Partial</v>
      </c>
      <c r="AI12" s="22" t="str">
        <f>IF('Raw Scores (0-1)'!AI12=1,"Yes",IF('Raw Scores (0-1)'!AI12=0.5,"Partial","No"))</f>
        <v>Partial</v>
      </c>
      <c r="AJ12" s="22" t="str">
        <f>IF('Raw Scores (0-1)'!AJ12=1,"Yes",IF('Raw Scores (0-1)'!AJ12=0.5,"Partial","No"))</f>
        <v>No</v>
      </c>
      <c r="AK12" s="20">
        <f>'Scores &amp; Ranking'!F12</f>
        <v>22.5</v>
      </c>
      <c r="AL12" s="20">
        <f>'Scores &amp; Ranking'!G12</f>
        <v>20</v>
      </c>
      <c r="AM12" s="20">
        <f>'Scores &amp; Ranking'!H12</f>
        <v>10</v>
      </c>
      <c r="AN12" s="20">
        <f>'Scores &amp; Ranking'!I12</f>
        <v>8</v>
      </c>
      <c r="AO12" s="20">
        <f>'Scores &amp; Ranking'!J12</f>
        <v>3.5</v>
      </c>
      <c r="AP12" s="23">
        <f>'Scores &amp; Ranking'!K12</f>
        <v>64</v>
      </c>
    </row>
    <row r="13">
      <c r="A13" s="12">
        <v>12.0</v>
      </c>
      <c r="B13" s="6" t="s">
        <v>128</v>
      </c>
      <c r="C13" s="12" t="s">
        <v>113</v>
      </c>
      <c r="D13" s="12" t="s">
        <v>51</v>
      </c>
      <c r="E13" s="3" t="s">
        <v>129</v>
      </c>
      <c r="F13" s="22" t="str">
        <f>IF('Raw Scores (0-1)'!F13=1,"Yes",IF('Raw Scores (0-1)'!F13=0.5,"Partial","No"))</f>
        <v>No</v>
      </c>
      <c r="G13" s="22" t="str">
        <f>IF('Raw Scores (0-1)'!G13=1,"Yes",IF('Raw Scores (0-1)'!G13=0.5,"Partial","No"))</f>
        <v>No</v>
      </c>
      <c r="H13" s="22" t="str">
        <f>IF('Raw Scores (0-1)'!H13=1,"Yes",IF('Raw Scores (0-1)'!H13=0.5,"Partial","No"))</f>
        <v>No</v>
      </c>
      <c r="I13" s="22" t="str">
        <f>IF('Raw Scores (0-1)'!I13=1,"Yes",IF('Raw Scores (0-1)'!I13=0.5,"Partial","No"))</f>
        <v>No</v>
      </c>
      <c r="J13" s="22" t="str">
        <f>IF('Raw Scores (0-1)'!J13=1,"Yes",IF('Raw Scores (0-1)'!J13=0.5,"Partial","No"))</f>
        <v>Yes</v>
      </c>
      <c r="K13" s="22" t="str">
        <f>IF('Raw Scores (0-1)'!K13=1,"Yes",IF('Raw Scores (0-1)'!K13=0.5,"Partial","No"))</f>
        <v>No</v>
      </c>
      <c r="L13" s="22" t="str">
        <f>IF('Raw Scores (0-1)'!L13=1,"Yes",IF('Raw Scores (0-1)'!L13=0.5,"Partial","No"))</f>
        <v>No</v>
      </c>
      <c r="M13" s="22" t="str">
        <f>IF('Raw Scores (0-1)'!M13=1,"Yes",IF('Raw Scores (0-1)'!M13=0.5,"Partial","No"))</f>
        <v>No</v>
      </c>
      <c r="N13" s="22" t="str">
        <f>IF('Raw Scores (0-1)'!N13=1,"Yes",IF('Raw Scores (0-1)'!N13=0.5,"Partial","No"))</f>
        <v>Yes</v>
      </c>
      <c r="O13" s="22" t="str">
        <f>IF('Raw Scores (0-1)'!O13=1,"Yes",IF('Raw Scores (0-1)'!O13=0.5,"Partial","No"))</f>
        <v>Yes</v>
      </c>
      <c r="P13" s="22" t="str">
        <f>IF('Raw Scores (0-1)'!P13=1,"Yes",IF('Raw Scores (0-1)'!P13=0.5,"Partial","No"))</f>
        <v>Yes</v>
      </c>
      <c r="Q13" s="22" t="str">
        <f>IF('Raw Scores (0-1)'!Q13=1,"Yes",IF('Raw Scores (0-1)'!Q13=0.5,"Partial","No"))</f>
        <v>No</v>
      </c>
      <c r="R13" s="22" t="str">
        <f>IF('Raw Scores (0-1)'!R13=1,"Yes",IF('Raw Scores (0-1)'!R13=0.5,"Partial","No"))</f>
        <v>Yes</v>
      </c>
      <c r="S13" s="22" t="str">
        <f>IF('Raw Scores (0-1)'!S13=1,"Yes",IF('Raw Scores (0-1)'!S13=0.5,"Partial","No"))</f>
        <v>Yes</v>
      </c>
      <c r="T13" s="22" t="str">
        <f>IF('Raw Scores (0-1)'!T13=1,"Yes",IF('Raw Scores (0-1)'!T13=0.5,"Partial","No"))</f>
        <v>Yes</v>
      </c>
      <c r="U13" s="22" t="str">
        <f>IF('Raw Scores (0-1)'!U13=1,"Yes",IF('Raw Scores (0-1)'!U13=0.5,"Partial","No"))</f>
        <v>Yes</v>
      </c>
      <c r="V13" s="22" t="str">
        <f>IF('Raw Scores (0-1)'!V13=1,"Yes",IF('Raw Scores (0-1)'!V13=0.5,"Partial","No"))</f>
        <v>Yes</v>
      </c>
      <c r="W13" s="22" t="str">
        <f>IF('Raw Scores (0-1)'!W13=1,"Yes",IF('Raw Scores (0-1)'!W13=0.5,"Partial","No"))</f>
        <v>Yes</v>
      </c>
      <c r="X13" s="22" t="str">
        <f>IF('Raw Scores (0-1)'!X13=1,"Yes",IF('Raw Scores (0-1)'!X13=0.5,"Partial","No"))</f>
        <v>No</v>
      </c>
      <c r="Y13" s="22" t="str">
        <f>IF('Raw Scores (0-1)'!Y13=1,"Yes",IF('Raw Scores (0-1)'!Y13=0.5,"Partial","No"))</f>
        <v>No</v>
      </c>
      <c r="Z13" s="22" t="str">
        <f>IF('Raw Scores (0-1)'!Z13=1,"Yes",IF('Raw Scores (0-1)'!Z13=0.5,"Partial","No"))</f>
        <v>No</v>
      </c>
      <c r="AA13" s="22" t="str">
        <f>IF('Raw Scores (0-1)'!AA13=1,"Yes",IF('Raw Scores (0-1)'!AA13=0.5,"Partial","No"))</f>
        <v>No</v>
      </c>
      <c r="AB13" s="22" t="str">
        <f>IF('Raw Scores (0-1)'!AB13=1,"Yes",IF('Raw Scores (0-1)'!AB13=0.5,"Partial","No"))</f>
        <v>No</v>
      </c>
      <c r="AC13" s="22" t="str">
        <f>IF('Raw Scores (0-1)'!AC13=1,"Yes",IF('Raw Scores (0-1)'!AC13=0.5,"Partial","No"))</f>
        <v>Yes</v>
      </c>
      <c r="AD13" s="22" t="str">
        <f>IF('Raw Scores (0-1)'!AD13=1,"Yes",IF('Raw Scores (0-1)'!AD13=0.5,"Partial","No"))</f>
        <v>Yes</v>
      </c>
      <c r="AE13" s="22" t="str">
        <f>IF('Raw Scores (0-1)'!AE13=1,"Yes",IF('Raw Scores (0-1)'!AE13=0.5,"Partial","No"))</f>
        <v>No</v>
      </c>
      <c r="AF13" s="22" t="str">
        <f>IF('Raw Scores (0-1)'!AF13=1,"Yes",IF('Raw Scores (0-1)'!AF13=0.5,"Partial","No"))</f>
        <v>Yes</v>
      </c>
      <c r="AG13" s="22" t="str">
        <f>IF('Raw Scores (0-1)'!AG13=1,"Yes",IF('Raw Scores (0-1)'!AG13=0.5,"Partial","No"))</f>
        <v>Partial</v>
      </c>
      <c r="AH13" s="22" t="str">
        <f>IF('Raw Scores (0-1)'!AH13=1,"Yes",IF('Raw Scores (0-1)'!AH13=0.5,"Partial","No"))</f>
        <v>No</v>
      </c>
      <c r="AI13" s="22" t="str">
        <f>IF('Raw Scores (0-1)'!AI13=1,"Yes",IF('Raw Scores (0-1)'!AI13=0.5,"Partial","No"))</f>
        <v>No</v>
      </c>
      <c r="AJ13" s="22" t="str">
        <f>IF('Raw Scores (0-1)'!AJ13=1,"Yes",IF('Raw Scores (0-1)'!AJ13=0.5,"Partial","No"))</f>
        <v>No</v>
      </c>
      <c r="AK13" s="20">
        <f>'Scores &amp; Ranking'!F13</f>
        <v>5</v>
      </c>
      <c r="AL13" s="20">
        <f>'Scores &amp; Ranking'!G13</f>
        <v>18</v>
      </c>
      <c r="AM13" s="20">
        <f>'Scores &amp; Ranking'!H13</f>
        <v>0</v>
      </c>
      <c r="AN13" s="20">
        <f>'Scores &amp; Ranking'!I13</f>
        <v>6.5</v>
      </c>
      <c r="AO13" s="20">
        <f>'Scores &amp; Ranking'!J13</f>
        <v>0</v>
      </c>
      <c r="AP13" s="23">
        <f>'Scores &amp; Ranking'!K13</f>
        <v>29.5</v>
      </c>
    </row>
    <row r="14">
      <c r="A14" s="12">
        <v>13.0</v>
      </c>
      <c r="B14" s="6" t="s">
        <v>130</v>
      </c>
      <c r="C14" s="12" t="s">
        <v>113</v>
      </c>
      <c r="D14" s="12" t="s">
        <v>131</v>
      </c>
      <c r="E14" s="3" t="s">
        <v>132</v>
      </c>
      <c r="F14" s="22" t="str">
        <f>IF('Raw Scores (0-1)'!F14=1,"Yes",IF('Raw Scores (0-1)'!F14=0.5,"Partial","No"))</f>
        <v>Yes</v>
      </c>
      <c r="G14" s="22" t="str">
        <f>IF('Raw Scores (0-1)'!G14=1,"Yes",IF('Raw Scores (0-1)'!G14=0.5,"Partial","No"))</f>
        <v>No</v>
      </c>
      <c r="H14" s="22" t="str">
        <f>IF('Raw Scores (0-1)'!H14=1,"Yes",IF('Raw Scores (0-1)'!H14=0.5,"Partial","No"))</f>
        <v>No</v>
      </c>
      <c r="I14" s="22" t="str">
        <f>IF('Raw Scores (0-1)'!I14=1,"Yes",IF('Raw Scores (0-1)'!I14=0.5,"Partial","No"))</f>
        <v>No</v>
      </c>
      <c r="J14" s="22" t="str">
        <f>IF('Raw Scores (0-1)'!J14=1,"Yes",IF('Raw Scores (0-1)'!J14=0.5,"Partial","No"))</f>
        <v>Partial</v>
      </c>
      <c r="K14" s="22" t="str">
        <f>IF('Raw Scores (0-1)'!K14=1,"Yes",IF('Raw Scores (0-1)'!K14=0.5,"Partial","No"))</f>
        <v>No</v>
      </c>
      <c r="L14" s="22" t="str">
        <f>IF('Raw Scores (0-1)'!L14=1,"Yes",IF('Raw Scores (0-1)'!L14=0.5,"Partial","No"))</f>
        <v>No</v>
      </c>
      <c r="M14" s="22" t="str">
        <f>IF('Raw Scores (0-1)'!M14=1,"Yes",IF('Raw Scores (0-1)'!M14=0.5,"Partial","No"))</f>
        <v>Yes</v>
      </c>
      <c r="N14" s="22" t="str">
        <f>IF('Raw Scores (0-1)'!N14=1,"Yes",IF('Raw Scores (0-1)'!N14=0.5,"Partial","No"))</f>
        <v>Yes</v>
      </c>
      <c r="O14" s="22" t="str">
        <f>IF('Raw Scores (0-1)'!O14=1,"Yes",IF('Raw Scores (0-1)'!O14=0.5,"Partial","No"))</f>
        <v>Yes</v>
      </c>
      <c r="P14" s="22" t="str">
        <f>IF('Raw Scores (0-1)'!P14=1,"Yes",IF('Raw Scores (0-1)'!P14=0.5,"Partial","No"))</f>
        <v>Yes</v>
      </c>
      <c r="Q14" s="22" t="str">
        <f>IF('Raw Scores (0-1)'!Q14=1,"Yes",IF('Raw Scores (0-1)'!Q14=0.5,"Partial","No"))</f>
        <v>Yes</v>
      </c>
      <c r="R14" s="22" t="str">
        <f>IF('Raw Scores (0-1)'!R14=1,"Yes",IF('Raw Scores (0-1)'!R14=0.5,"Partial","No"))</f>
        <v>Yes</v>
      </c>
      <c r="S14" s="22" t="str">
        <f>IF('Raw Scores (0-1)'!S14=1,"Yes",IF('Raw Scores (0-1)'!S14=0.5,"Partial","No"))</f>
        <v>Yes</v>
      </c>
      <c r="T14" s="22" t="str">
        <f>IF('Raw Scores (0-1)'!T14=1,"Yes",IF('Raw Scores (0-1)'!T14=0.5,"Partial","No"))</f>
        <v>Yes</v>
      </c>
      <c r="U14" s="22" t="str">
        <f>IF('Raw Scores (0-1)'!U14=1,"Yes",IF('Raw Scores (0-1)'!U14=0.5,"Partial","No"))</f>
        <v>Yes</v>
      </c>
      <c r="V14" s="22" t="str">
        <f>IF('Raw Scores (0-1)'!V14=1,"Yes",IF('Raw Scores (0-1)'!V14=0.5,"Partial","No"))</f>
        <v>Yes</v>
      </c>
      <c r="W14" s="22" t="str">
        <f>IF('Raw Scores (0-1)'!W14=1,"Yes",IF('Raw Scores (0-1)'!W14=0.5,"Partial","No"))</f>
        <v>Yes</v>
      </c>
      <c r="X14" s="22" t="str">
        <f>IF('Raw Scores (0-1)'!X14=1,"Yes",IF('Raw Scores (0-1)'!X14=0.5,"Partial","No"))</f>
        <v>Yes</v>
      </c>
      <c r="Y14" s="22" t="str">
        <f>IF('Raw Scores (0-1)'!Y14=1,"Yes",IF('Raw Scores (0-1)'!Y14=0.5,"Partial","No"))</f>
        <v>Yes</v>
      </c>
      <c r="Z14" s="22" t="str">
        <f>IF('Raw Scores (0-1)'!Z14=1,"Yes",IF('Raw Scores (0-1)'!Z14=0.5,"Partial","No"))</f>
        <v>Yes</v>
      </c>
      <c r="AA14" s="22" t="str">
        <f>IF('Raw Scores (0-1)'!AA14=1,"Yes",IF('Raw Scores (0-1)'!AA14=0.5,"Partial","No"))</f>
        <v>Yes</v>
      </c>
      <c r="AB14" s="22" t="str">
        <f>IF('Raw Scores (0-1)'!AB14=1,"Yes",IF('Raw Scores (0-1)'!AB14=0.5,"Partial","No"))</f>
        <v>No</v>
      </c>
      <c r="AC14" s="22" t="str">
        <f>IF('Raw Scores (0-1)'!AC14=1,"Yes",IF('Raw Scores (0-1)'!AC14=0.5,"Partial","No"))</f>
        <v>Yes</v>
      </c>
      <c r="AD14" s="22" t="str">
        <f>IF('Raw Scores (0-1)'!AD14=1,"Yes",IF('Raw Scores (0-1)'!AD14=0.5,"Partial","No"))</f>
        <v>Yes</v>
      </c>
      <c r="AE14" s="22" t="str">
        <f>IF('Raw Scores (0-1)'!AE14=1,"Yes",IF('Raw Scores (0-1)'!AE14=0.5,"Partial","No"))</f>
        <v>No</v>
      </c>
      <c r="AF14" s="22" t="str">
        <f>IF('Raw Scores (0-1)'!AF14=1,"Yes",IF('Raw Scores (0-1)'!AF14=0.5,"Partial","No"))</f>
        <v>Yes</v>
      </c>
      <c r="AG14" s="22" t="str">
        <f>IF('Raw Scores (0-1)'!AG14=1,"Yes",IF('Raw Scores (0-1)'!AG14=0.5,"Partial","No"))</f>
        <v>Partial</v>
      </c>
      <c r="AH14" s="22" t="str">
        <f>IF('Raw Scores (0-1)'!AH14=1,"Yes",IF('Raw Scores (0-1)'!AH14=0.5,"Partial","No"))</f>
        <v>No</v>
      </c>
      <c r="AI14" s="22" t="str">
        <f>IF('Raw Scores (0-1)'!AI14=1,"Yes",IF('Raw Scores (0-1)'!AI14=0.5,"Partial","No"))</f>
        <v>No</v>
      </c>
      <c r="AJ14" s="22" t="str">
        <f>IF('Raw Scores (0-1)'!AJ14=1,"Yes",IF('Raw Scores (0-1)'!AJ14=0.5,"Partial","No"))</f>
        <v>No</v>
      </c>
      <c r="AK14" s="20">
        <f>'Scores &amp; Ranking'!F14</f>
        <v>22.5</v>
      </c>
      <c r="AL14" s="20">
        <f>'Scores &amp; Ranking'!G14</f>
        <v>20</v>
      </c>
      <c r="AM14" s="20">
        <f>'Scores &amp; Ranking'!H14</f>
        <v>8</v>
      </c>
      <c r="AN14" s="20">
        <f>'Scores &amp; Ranking'!I14</f>
        <v>6.5</v>
      </c>
      <c r="AO14" s="20">
        <f>'Scores &amp; Ranking'!J14</f>
        <v>0</v>
      </c>
      <c r="AP14" s="23">
        <f>'Scores &amp; Ranking'!K14</f>
        <v>57</v>
      </c>
    </row>
    <row r="15">
      <c r="A15" s="12">
        <v>14.0</v>
      </c>
      <c r="B15" s="6" t="s">
        <v>133</v>
      </c>
      <c r="C15" s="12" t="s">
        <v>113</v>
      </c>
      <c r="D15" s="12" t="s">
        <v>120</v>
      </c>
      <c r="E15" s="3" t="s">
        <v>134</v>
      </c>
      <c r="F15" s="22" t="str">
        <f>IF('Raw Scores (0-1)'!F15=1,"Yes",IF('Raw Scores (0-1)'!F15=0.5,"Partial","No"))</f>
        <v>No</v>
      </c>
      <c r="G15" s="22" t="str">
        <f>IF('Raw Scores (0-1)'!G15=1,"Yes",IF('Raw Scores (0-1)'!G15=0.5,"Partial","No"))</f>
        <v>No</v>
      </c>
      <c r="H15" s="22" t="str">
        <f>IF('Raw Scores (0-1)'!H15=1,"Yes",IF('Raw Scores (0-1)'!H15=0.5,"Partial","No"))</f>
        <v>No</v>
      </c>
      <c r="I15" s="22" t="str">
        <f>IF('Raw Scores (0-1)'!I15=1,"Yes",IF('Raw Scores (0-1)'!I15=0.5,"Partial","No"))</f>
        <v>Partial</v>
      </c>
      <c r="J15" s="22" t="str">
        <f>IF('Raw Scores (0-1)'!J15=1,"Yes",IF('Raw Scores (0-1)'!J15=0.5,"Partial","No"))</f>
        <v>Yes</v>
      </c>
      <c r="K15" s="22" t="str">
        <f>IF('Raw Scores (0-1)'!K15=1,"Yes",IF('Raw Scores (0-1)'!K15=0.5,"Partial","No"))</f>
        <v>No</v>
      </c>
      <c r="L15" s="22" t="str">
        <f>IF('Raw Scores (0-1)'!L15=1,"Yes",IF('Raw Scores (0-1)'!L15=0.5,"Partial","No"))</f>
        <v>No</v>
      </c>
      <c r="M15" s="22" t="str">
        <f>IF('Raw Scores (0-1)'!M15=1,"Yes",IF('Raw Scores (0-1)'!M15=0.5,"Partial","No"))</f>
        <v>No</v>
      </c>
      <c r="N15" s="22" t="str">
        <f>IF('Raw Scores (0-1)'!N15=1,"Yes",IF('Raw Scores (0-1)'!N15=0.5,"Partial","No"))</f>
        <v>Yes</v>
      </c>
      <c r="O15" s="22" t="str">
        <f>IF('Raw Scores (0-1)'!O15=1,"Yes",IF('Raw Scores (0-1)'!O15=0.5,"Partial","No"))</f>
        <v>Yes</v>
      </c>
      <c r="P15" s="22" t="str">
        <f>IF('Raw Scores (0-1)'!P15=1,"Yes",IF('Raw Scores (0-1)'!P15=0.5,"Partial","No"))</f>
        <v>Yes</v>
      </c>
      <c r="Q15" s="22" t="str">
        <f>IF('Raw Scores (0-1)'!Q15=1,"Yes",IF('Raw Scores (0-1)'!Q15=0.5,"Partial","No"))</f>
        <v>Yes</v>
      </c>
      <c r="R15" s="22" t="str">
        <f>IF('Raw Scores (0-1)'!R15=1,"Yes",IF('Raw Scores (0-1)'!R15=0.5,"Partial","No"))</f>
        <v>Yes</v>
      </c>
      <c r="S15" s="22" t="str">
        <f>IF('Raw Scores (0-1)'!S15=1,"Yes",IF('Raw Scores (0-1)'!S15=0.5,"Partial","No"))</f>
        <v>Yes</v>
      </c>
      <c r="T15" s="22" t="str">
        <f>IF('Raw Scores (0-1)'!T15=1,"Yes",IF('Raw Scores (0-1)'!T15=0.5,"Partial","No"))</f>
        <v>Yes</v>
      </c>
      <c r="U15" s="22" t="str">
        <f>IF('Raw Scores (0-1)'!U15=1,"Yes",IF('Raw Scores (0-1)'!U15=0.5,"Partial","No"))</f>
        <v>Yes</v>
      </c>
      <c r="V15" s="22" t="str">
        <f>IF('Raw Scores (0-1)'!V15=1,"Yes",IF('Raw Scores (0-1)'!V15=0.5,"Partial","No"))</f>
        <v>Yes</v>
      </c>
      <c r="W15" s="22" t="str">
        <f>IF('Raw Scores (0-1)'!W15=1,"Yes",IF('Raw Scores (0-1)'!W15=0.5,"Partial","No"))</f>
        <v>Yes</v>
      </c>
      <c r="X15" s="22" t="str">
        <f>IF('Raw Scores (0-1)'!X15=1,"Yes",IF('Raw Scores (0-1)'!X15=0.5,"Partial","No"))</f>
        <v>Yes</v>
      </c>
      <c r="Y15" s="22" t="str">
        <f>IF('Raw Scores (0-1)'!Y15=1,"Yes",IF('Raw Scores (0-1)'!Y15=0.5,"Partial","No"))</f>
        <v>Yes</v>
      </c>
      <c r="Z15" s="22" t="str">
        <f>IF('Raw Scores (0-1)'!Z15=1,"Yes",IF('Raw Scores (0-1)'!Z15=0.5,"Partial","No"))</f>
        <v>Yes</v>
      </c>
      <c r="AA15" s="22" t="str">
        <f>IF('Raw Scores (0-1)'!AA15=1,"Yes",IF('Raw Scores (0-1)'!AA15=0.5,"Partial","No"))</f>
        <v>Yes</v>
      </c>
      <c r="AB15" s="22" t="str">
        <f>IF('Raw Scores (0-1)'!AB15=1,"Yes",IF('Raw Scores (0-1)'!AB15=0.5,"Partial","No"))</f>
        <v>Yes</v>
      </c>
      <c r="AC15" s="22" t="str">
        <f>IF('Raw Scores (0-1)'!AC15=1,"Yes",IF('Raw Scores (0-1)'!AC15=0.5,"Partial","No"))</f>
        <v>Yes</v>
      </c>
      <c r="AD15" s="22" t="str">
        <f>IF('Raw Scores (0-1)'!AD15=1,"Yes",IF('Raw Scores (0-1)'!AD15=0.5,"Partial","No"))</f>
        <v>Yes</v>
      </c>
      <c r="AE15" s="22" t="str">
        <f>IF('Raw Scores (0-1)'!AE15=1,"Yes",IF('Raw Scores (0-1)'!AE15=0.5,"Partial","No"))</f>
        <v>Partial</v>
      </c>
      <c r="AF15" s="22" t="str">
        <f>IF('Raw Scores (0-1)'!AF15=1,"Yes",IF('Raw Scores (0-1)'!AF15=0.5,"Partial","No"))</f>
        <v>Yes</v>
      </c>
      <c r="AG15" s="22" t="str">
        <f>IF('Raw Scores (0-1)'!AG15=1,"Yes",IF('Raw Scores (0-1)'!AG15=0.5,"Partial","No"))</f>
        <v>Partial</v>
      </c>
      <c r="AH15" s="22" t="str">
        <f>IF('Raw Scores (0-1)'!AH15=1,"Yes",IF('Raw Scores (0-1)'!AH15=0.5,"Partial","No"))</f>
        <v>No</v>
      </c>
      <c r="AI15" s="22" t="str">
        <f>IF('Raw Scores (0-1)'!AI15=1,"Yes",IF('Raw Scores (0-1)'!AI15=0.5,"Partial","No"))</f>
        <v>No</v>
      </c>
      <c r="AJ15" s="22" t="str">
        <f>IF('Raw Scores (0-1)'!AJ15=1,"Yes",IF('Raw Scores (0-1)'!AJ15=0.5,"Partial","No"))</f>
        <v>No</v>
      </c>
      <c r="AK15" s="20">
        <f>'Scores &amp; Ranking'!F15</f>
        <v>7.5</v>
      </c>
      <c r="AL15" s="20">
        <f>'Scores &amp; Ranking'!G15</f>
        <v>20</v>
      </c>
      <c r="AM15" s="20">
        <f>'Scores &amp; Ranking'!H15</f>
        <v>10</v>
      </c>
      <c r="AN15" s="20">
        <f>'Scores &amp; Ranking'!I15</f>
        <v>7.5</v>
      </c>
      <c r="AO15" s="20">
        <f>'Scores &amp; Ranking'!J15</f>
        <v>0</v>
      </c>
      <c r="AP15" s="23">
        <f>'Scores &amp; Ranking'!K15</f>
        <v>45</v>
      </c>
    </row>
    <row r="16">
      <c r="A16" s="12">
        <v>15.0</v>
      </c>
      <c r="B16" s="6" t="s">
        <v>135</v>
      </c>
      <c r="C16" s="12" t="s">
        <v>113</v>
      </c>
      <c r="D16" s="12" t="s">
        <v>136</v>
      </c>
      <c r="E16" s="3" t="s">
        <v>137</v>
      </c>
      <c r="F16" s="22" t="str">
        <f>IF('Raw Scores (0-1)'!F16=1,"Yes",IF('Raw Scores (0-1)'!F16=0.5,"Partial","No"))</f>
        <v>No</v>
      </c>
      <c r="G16" s="22" t="str">
        <f>IF('Raw Scores (0-1)'!G16=1,"Yes",IF('Raw Scores (0-1)'!G16=0.5,"Partial","No"))</f>
        <v>No</v>
      </c>
      <c r="H16" s="22" t="str">
        <f>IF('Raw Scores (0-1)'!H16=1,"Yes",IF('Raw Scores (0-1)'!H16=0.5,"Partial","No"))</f>
        <v>No</v>
      </c>
      <c r="I16" s="22" t="str">
        <f>IF('Raw Scores (0-1)'!I16=1,"Yes",IF('Raw Scores (0-1)'!I16=0.5,"Partial","No"))</f>
        <v>Partial</v>
      </c>
      <c r="J16" s="22" t="str">
        <f>IF('Raw Scores (0-1)'!J16=1,"Yes",IF('Raw Scores (0-1)'!J16=0.5,"Partial","No"))</f>
        <v>Yes</v>
      </c>
      <c r="K16" s="22" t="str">
        <f>IF('Raw Scores (0-1)'!K16=1,"Yes",IF('Raw Scores (0-1)'!K16=0.5,"Partial","No"))</f>
        <v>No</v>
      </c>
      <c r="L16" s="22" t="str">
        <f>IF('Raw Scores (0-1)'!L16=1,"Yes",IF('Raw Scores (0-1)'!L16=0.5,"Partial","No"))</f>
        <v>No</v>
      </c>
      <c r="M16" s="22" t="str">
        <f>IF('Raw Scores (0-1)'!M16=1,"Yes",IF('Raw Scores (0-1)'!M16=0.5,"Partial","No"))</f>
        <v>No</v>
      </c>
      <c r="N16" s="22" t="str">
        <f>IF('Raw Scores (0-1)'!N16=1,"Yes",IF('Raw Scores (0-1)'!N16=0.5,"Partial","No"))</f>
        <v>Yes</v>
      </c>
      <c r="O16" s="22" t="str">
        <f>IF('Raw Scores (0-1)'!O16=1,"Yes",IF('Raw Scores (0-1)'!O16=0.5,"Partial","No"))</f>
        <v>Yes</v>
      </c>
      <c r="P16" s="22" t="str">
        <f>IF('Raw Scores (0-1)'!P16=1,"Yes",IF('Raw Scores (0-1)'!P16=0.5,"Partial","No"))</f>
        <v>Yes</v>
      </c>
      <c r="Q16" s="22" t="str">
        <f>IF('Raw Scores (0-1)'!Q16=1,"Yes",IF('Raw Scores (0-1)'!Q16=0.5,"Partial","No"))</f>
        <v>Yes</v>
      </c>
      <c r="R16" s="22" t="str">
        <f>IF('Raw Scores (0-1)'!R16=1,"Yes",IF('Raw Scores (0-1)'!R16=0.5,"Partial","No"))</f>
        <v>Yes</v>
      </c>
      <c r="S16" s="22" t="str">
        <f>IF('Raw Scores (0-1)'!S16=1,"Yes",IF('Raw Scores (0-1)'!S16=0.5,"Partial","No"))</f>
        <v>Yes</v>
      </c>
      <c r="T16" s="22" t="str">
        <f>IF('Raw Scores (0-1)'!T16=1,"Yes",IF('Raw Scores (0-1)'!T16=0.5,"Partial","No"))</f>
        <v>Yes</v>
      </c>
      <c r="U16" s="22" t="str">
        <f>IF('Raw Scores (0-1)'!U16=1,"Yes",IF('Raw Scores (0-1)'!U16=0.5,"Partial","No"))</f>
        <v>Yes</v>
      </c>
      <c r="V16" s="22" t="str">
        <f>IF('Raw Scores (0-1)'!V16=1,"Yes",IF('Raw Scores (0-1)'!V16=0.5,"Partial","No"))</f>
        <v>Yes</v>
      </c>
      <c r="W16" s="22" t="str">
        <f>IF('Raw Scores (0-1)'!W16=1,"Yes",IF('Raw Scores (0-1)'!W16=0.5,"Partial","No"))</f>
        <v>Yes</v>
      </c>
      <c r="X16" s="22" t="str">
        <f>IF('Raw Scores (0-1)'!X16=1,"Yes",IF('Raw Scores (0-1)'!X16=0.5,"Partial","No"))</f>
        <v>Partial</v>
      </c>
      <c r="Y16" s="22" t="str">
        <f>IF('Raw Scores (0-1)'!Y16=1,"Yes",IF('Raw Scores (0-1)'!Y16=0.5,"Partial","No"))</f>
        <v>No</v>
      </c>
      <c r="Z16" s="22" t="str">
        <f>IF('Raw Scores (0-1)'!Z16=1,"Yes",IF('Raw Scores (0-1)'!Z16=0.5,"Partial","No"))</f>
        <v>No</v>
      </c>
      <c r="AA16" s="22" t="str">
        <f>IF('Raw Scores (0-1)'!AA16=1,"Yes",IF('Raw Scores (0-1)'!AA16=0.5,"Partial","No"))</f>
        <v>No</v>
      </c>
      <c r="AB16" s="22" t="str">
        <f>IF('Raw Scores (0-1)'!AB16=1,"Yes",IF('Raw Scores (0-1)'!AB16=0.5,"Partial","No"))</f>
        <v>No</v>
      </c>
      <c r="AC16" s="22" t="str">
        <f>IF('Raw Scores (0-1)'!AC16=1,"Yes",IF('Raw Scores (0-1)'!AC16=0.5,"Partial","No"))</f>
        <v>Yes</v>
      </c>
      <c r="AD16" s="22" t="str">
        <f>IF('Raw Scores (0-1)'!AD16=1,"Yes",IF('Raw Scores (0-1)'!AD16=0.5,"Partial","No"))</f>
        <v>Yes</v>
      </c>
      <c r="AE16" s="22" t="str">
        <f>IF('Raw Scores (0-1)'!AE16=1,"Yes",IF('Raw Scores (0-1)'!AE16=0.5,"Partial","No"))</f>
        <v>No</v>
      </c>
      <c r="AF16" s="22" t="str">
        <f>IF('Raw Scores (0-1)'!AF16=1,"Yes",IF('Raw Scores (0-1)'!AF16=0.5,"Partial","No"))</f>
        <v>Yes</v>
      </c>
      <c r="AG16" s="22" t="str">
        <f>IF('Raw Scores (0-1)'!AG16=1,"Yes",IF('Raw Scores (0-1)'!AG16=0.5,"Partial","No"))</f>
        <v>Partial</v>
      </c>
      <c r="AH16" s="22" t="str">
        <f>IF('Raw Scores (0-1)'!AH16=1,"Yes",IF('Raw Scores (0-1)'!AH16=0.5,"Partial","No"))</f>
        <v>No</v>
      </c>
      <c r="AI16" s="22" t="str">
        <f>IF('Raw Scores (0-1)'!AI16=1,"Yes",IF('Raw Scores (0-1)'!AI16=0.5,"Partial","No"))</f>
        <v>No</v>
      </c>
      <c r="AJ16" s="22" t="str">
        <f>IF('Raw Scores (0-1)'!AJ16=1,"Yes",IF('Raw Scores (0-1)'!AJ16=0.5,"Partial","No"))</f>
        <v>No</v>
      </c>
      <c r="AK16" s="20">
        <f>'Scores &amp; Ranking'!F16</f>
        <v>7.5</v>
      </c>
      <c r="AL16" s="20">
        <f>'Scores &amp; Ranking'!G16</f>
        <v>20</v>
      </c>
      <c r="AM16" s="20">
        <f>'Scores &amp; Ranking'!H16</f>
        <v>1</v>
      </c>
      <c r="AN16" s="20">
        <f>'Scores &amp; Ranking'!I16</f>
        <v>6.5</v>
      </c>
      <c r="AO16" s="20">
        <f>'Scores &amp; Ranking'!J16</f>
        <v>0</v>
      </c>
      <c r="AP16" s="23">
        <f>'Scores &amp; Ranking'!K16</f>
        <v>35</v>
      </c>
    </row>
    <row r="17">
      <c r="A17" s="12">
        <v>16.0</v>
      </c>
      <c r="B17" s="6" t="s">
        <v>138</v>
      </c>
      <c r="C17" s="12" t="s">
        <v>113</v>
      </c>
      <c r="D17" s="12" t="s">
        <v>139</v>
      </c>
      <c r="E17" s="3" t="s">
        <v>140</v>
      </c>
      <c r="F17" s="22" t="str">
        <f>IF('Raw Scores (0-1)'!F17=1,"Yes",IF('Raw Scores (0-1)'!F17=0.5,"Partial","No"))</f>
        <v>No</v>
      </c>
      <c r="G17" s="22" t="str">
        <f>IF('Raw Scores (0-1)'!G17=1,"Yes",IF('Raw Scores (0-1)'!G17=0.5,"Partial","No"))</f>
        <v>No</v>
      </c>
      <c r="H17" s="22" t="str">
        <f>IF('Raw Scores (0-1)'!H17=1,"Yes",IF('Raw Scores (0-1)'!H17=0.5,"Partial","No"))</f>
        <v>No</v>
      </c>
      <c r="I17" s="22" t="str">
        <f>IF('Raw Scores (0-1)'!I17=1,"Yes",IF('Raw Scores (0-1)'!I17=0.5,"Partial","No"))</f>
        <v>No</v>
      </c>
      <c r="J17" s="22" t="str">
        <f>IF('Raw Scores (0-1)'!J17=1,"Yes",IF('Raw Scores (0-1)'!J17=0.5,"Partial","No"))</f>
        <v>Yes</v>
      </c>
      <c r="K17" s="22" t="str">
        <f>IF('Raw Scores (0-1)'!K17=1,"Yes",IF('Raw Scores (0-1)'!K17=0.5,"Partial","No"))</f>
        <v>No</v>
      </c>
      <c r="L17" s="22" t="str">
        <f>IF('Raw Scores (0-1)'!L17=1,"Yes",IF('Raw Scores (0-1)'!L17=0.5,"Partial","No"))</f>
        <v>No</v>
      </c>
      <c r="M17" s="22" t="str">
        <f>IF('Raw Scores (0-1)'!M17=1,"Yes",IF('Raw Scores (0-1)'!M17=0.5,"Partial","No"))</f>
        <v>No</v>
      </c>
      <c r="N17" s="22" t="str">
        <f>IF('Raw Scores (0-1)'!N17=1,"Yes",IF('Raw Scores (0-1)'!N17=0.5,"Partial","No"))</f>
        <v>Yes</v>
      </c>
      <c r="O17" s="22" t="str">
        <f>IF('Raw Scores (0-1)'!O17=1,"Yes",IF('Raw Scores (0-1)'!O17=0.5,"Partial","No"))</f>
        <v>Yes</v>
      </c>
      <c r="P17" s="22" t="str">
        <f>IF('Raw Scores (0-1)'!P17=1,"Yes",IF('Raw Scores (0-1)'!P17=0.5,"Partial","No"))</f>
        <v>Yes</v>
      </c>
      <c r="Q17" s="22" t="str">
        <f>IF('Raw Scores (0-1)'!Q17=1,"Yes",IF('Raw Scores (0-1)'!Q17=0.5,"Partial","No"))</f>
        <v>No</v>
      </c>
      <c r="R17" s="22" t="str">
        <f>IF('Raw Scores (0-1)'!R17=1,"Yes",IF('Raw Scores (0-1)'!R17=0.5,"Partial","No"))</f>
        <v>Partial</v>
      </c>
      <c r="S17" s="22" t="str">
        <f>IF('Raw Scores (0-1)'!S17=1,"Yes",IF('Raw Scores (0-1)'!S17=0.5,"Partial","No"))</f>
        <v>Partial</v>
      </c>
      <c r="T17" s="22" t="str">
        <f>IF('Raw Scores (0-1)'!T17=1,"Yes",IF('Raw Scores (0-1)'!T17=0.5,"Partial","No"))</f>
        <v>Yes</v>
      </c>
      <c r="U17" s="22" t="str">
        <f>IF('Raw Scores (0-1)'!U17=1,"Yes",IF('Raw Scores (0-1)'!U17=0.5,"Partial","No"))</f>
        <v>Partial</v>
      </c>
      <c r="V17" s="22" t="str">
        <f>IF('Raw Scores (0-1)'!V17=1,"Yes",IF('Raw Scores (0-1)'!V17=0.5,"Partial","No"))</f>
        <v>No</v>
      </c>
      <c r="W17" s="22" t="str">
        <f>IF('Raw Scores (0-1)'!W17=1,"Yes",IF('Raw Scores (0-1)'!W17=0.5,"Partial","No"))</f>
        <v>Yes</v>
      </c>
      <c r="X17" s="22" t="str">
        <f>IF('Raw Scores (0-1)'!X17=1,"Yes",IF('Raw Scores (0-1)'!X17=0.5,"Partial","No"))</f>
        <v>No</v>
      </c>
      <c r="Y17" s="22" t="str">
        <f>IF('Raw Scores (0-1)'!Y17=1,"Yes",IF('Raw Scores (0-1)'!Y17=0.5,"Partial","No"))</f>
        <v>No</v>
      </c>
      <c r="Z17" s="22" t="str">
        <f>IF('Raw Scores (0-1)'!Z17=1,"Yes",IF('Raw Scores (0-1)'!Z17=0.5,"Partial","No"))</f>
        <v>No</v>
      </c>
      <c r="AA17" s="22" t="str">
        <f>IF('Raw Scores (0-1)'!AA17=1,"Yes",IF('Raw Scores (0-1)'!AA17=0.5,"Partial","No"))</f>
        <v>No</v>
      </c>
      <c r="AB17" s="22" t="str">
        <f>IF('Raw Scores (0-1)'!AB17=1,"Yes",IF('Raw Scores (0-1)'!AB17=0.5,"Partial","No"))</f>
        <v>No</v>
      </c>
      <c r="AC17" s="22" t="str">
        <f>IF('Raw Scores (0-1)'!AC17=1,"Yes",IF('Raw Scores (0-1)'!AC17=0.5,"Partial","No"))</f>
        <v>Yes</v>
      </c>
      <c r="AD17" s="22" t="str">
        <f>IF('Raw Scores (0-1)'!AD17=1,"Yes",IF('Raw Scores (0-1)'!AD17=0.5,"Partial","No"))</f>
        <v>Yes</v>
      </c>
      <c r="AE17" s="22" t="str">
        <f>IF('Raw Scores (0-1)'!AE17=1,"Yes",IF('Raw Scores (0-1)'!AE17=0.5,"Partial","No"))</f>
        <v>No</v>
      </c>
      <c r="AF17" s="22" t="str">
        <f>IF('Raw Scores (0-1)'!AF17=1,"Yes",IF('Raw Scores (0-1)'!AF17=0.5,"Partial","No"))</f>
        <v>Yes</v>
      </c>
      <c r="AG17" s="22" t="str">
        <f>IF('Raw Scores (0-1)'!AG17=1,"Yes",IF('Raw Scores (0-1)'!AG17=0.5,"Partial","No"))</f>
        <v>Partial</v>
      </c>
      <c r="AH17" s="22" t="str">
        <f>IF('Raw Scores (0-1)'!AH17=1,"Yes",IF('Raw Scores (0-1)'!AH17=0.5,"Partial","No"))</f>
        <v>No</v>
      </c>
      <c r="AI17" s="22" t="str">
        <f>IF('Raw Scores (0-1)'!AI17=1,"Yes",IF('Raw Scores (0-1)'!AI17=0.5,"Partial","No"))</f>
        <v>No</v>
      </c>
      <c r="AJ17" s="22" t="str">
        <f>IF('Raw Scores (0-1)'!AJ17=1,"Yes",IF('Raw Scores (0-1)'!AJ17=0.5,"Partial","No"))</f>
        <v>No</v>
      </c>
      <c r="AK17" s="20">
        <f>'Scores &amp; Ranking'!F17</f>
        <v>5</v>
      </c>
      <c r="AL17" s="20">
        <f>'Scores &amp; Ranking'!G17</f>
        <v>13</v>
      </c>
      <c r="AM17" s="20">
        <f>'Scores &amp; Ranking'!H17</f>
        <v>0</v>
      </c>
      <c r="AN17" s="20">
        <f>'Scores &amp; Ranking'!I17</f>
        <v>6.5</v>
      </c>
      <c r="AO17" s="20">
        <f>'Scores &amp; Ranking'!J17</f>
        <v>0</v>
      </c>
      <c r="AP17" s="23">
        <f>'Scores &amp; Ranking'!K17</f>
        <v>24.5</v>
      </c>
    </row>
    <row r="18">
      <c r="A18" s="12">
        <v>17.0</v>
      </c>
      <c r="B18" s="6" t="s">
        <v>141</v>
      </c>
      <c r="C18" s="12" t="s">
        <v>119</v>
      </c>
      <c r="D18" s="12" t="s">
        <v>105</v>
      </c>
      <c r="E18" s="3" t="s">
        <v>142</v>
      </c>
      <c r="F18" s="22" t="str">
        <f>IF('Raw Scores (0-1)'!F18=1,"Yes",IF('Raw Scores (0-1)'!F18=0.5,"Partial","No"))</f>
        <v>Partial</v>
      </c>
      <c r="G18" s="22" t="str">
        <f>IF('Raw Scores (0-1)'!G18=1,"Yes",IF('Raw Scores (0-1)'!G18=0.5,"Partial","No"))</f>
        <v>No</v>
      </c>
      <c r="H18" s="22" t="str">
        <f>IF('Raw Scores (0-1)'!H18=1,"Yes",IF('Raw Scores (0-1)'!H18=0.5,"Partial","No"))</f>
        <v>No</v>
      </c>
      <c r="I18" s="22" t="str">
        <f>IF('Raw Scores (0-1)'!I18=1,"Yes",IF('Raw Scores (0-1)'!I18=0.5,"Partial","No"))</f>
        <v>Yes</v>
      </c>
      <c r="J18" s="22" t="str">
        <f>IF('Raw Scores (0-1)'!J18=1,"Yes",IF('Raw Scores (0-1)'!J18=0.5,"Partial","No"))</f>
        <v>Partial</v>
      </c>
      <c r="K18" s="22" t="str">
        <f>IF('Raw Scores (0-1)'!K18=1,"Yes",IF('Raw Scores (0-1)'!K18=0.5,"Partial","No"))</f>
        <v>No</v>
      </c>
      <c r="L18" s="22" t="str">
        <f>IF('Raw Scores (0-1)'!L18=1,"Yes",IF('Raw Scores (0-1)'!L18=0.5,"Partial","No"))</f>
        <v>No</v>
      </c>
      <c r="M18" s="22" t="str">
        <f>IF('Raw Scores (0-1)'!M18=1,"Yes",IF('Raw Scores (0-1)'!M18=0.5,"Partial","No"))</f>
        <v>Partial</v>
      </c>
      <c r="N18" s="22" t="str">
        <f>IF('Raw Scores (0-1)'!N18=1,"Yes",IF('Raw Scores (0-1)'!N18=0.5,"Partial","No"))</f>
        <v>Yes</v>
      </c>
      <c r="O18" s="22" t="str">
        <f>IF('Raw Scores (0-1)'!O18=1,"Yes",IF('Raw Scores (0-1)'!O18=0.5,"Partial","No"))</f>
        <v>Yes</v>
      </c>
      <c r="P18" s="22" t="str">
        <f>IF('Raw Scores (0-1)'!P18=1,"Yes",IF('Raw Scores (0-1)'!P18=0.5,"Partial","No"))</f>
        <v>Yes</v>
      </c>
      <c r="Q18" s="22" t="str">
        <f>IF('Raw Scores (0-1)'!Q18=1,"Yes",IF('Raw Scores (0-1)'!Q18=0.5,"Partial","No"))</f>
        <v>No</v>
      </c>
      <c r="R18" s="22" t="str">
        <f>IF('Raw Scores (0-1)'!R18=1,"Yes",IF('Raw Scores (0-1)'!R18=0.5,"Partial","No"))</f>
        <v>Yes</v>
      </c>
      <c r="S18" s="22" t="str">
        <f>IF('Raw Scores (0-1)'!S18=1,"Yes",IF('Raw Scores (0-1)'!S18=0.5,"Partial","No"))</f>
        <v>Yes</v>
      </c>
      <c r="T18" s="22" t="str">
        <f>IF('Raw Scores (0-1)'!T18=1,"Yes",IF('Raw Scores (0-1)'!T18=0.5,"Partial","No"))</f>
        <v>Yes</v>
      </c>
      <c r="U18" s="22" t="str">
        <f>IF('Raw Scores (0-1)'!U18=1,"Yes",IF('Raw Scores (0-1)'!U18=0.5,"Partial","No"))</f>
        <v>Yes</v>
      </c>
      <c r="V18" s="22" t="str">
        <f>IF('Raw Scores (0-1)'!V18=1,"Yes",IF('Raw Scores (0-1)'!V18=0.5,"Partial","No"))</f>
        <v>Yes</v>
      </c>
      <c r="W18" s="22" t="str">
        <f>IF('Raw Scores (0-1)'!W18=1,"Yes",IF('Raw Scores (0-1)'!W18=0.5,"Partial","No"))</f>
        <v>Yes</v>
      </c>
      <c r="X18" s="22" t="str">
        <f>IF('Raw Scores (0-1)'!X18=1,"Yes",IF('Raw Scores (0-1)'!X18=0.5,"Partial","No"))</f>
        <v>Yes</v>
      </c>
      <c r="Y18" s="22" t="str">
        <f>IF('Raw Scores (0-1)'!Y18=1,"Yes",IF('Raw Scores (0-1)'!Y18=0.5,"Partial","No"))</f>
        <v>Yes</v>
      </c>
      <c r="Z18" s="22" t="str">
        <f>IF('Raw Scores (0-1)'!Z18=1,"Yes",IF('Raw Scores (0-1)'!Z18=0.5,"Partial","No"))</f>
        <v>Yes</v>
      </c>
      <c r="AA18" s="22" t="str">
        <f>IF('Raw Scores (0-1)'!AA18=1,"Yes",IF('Raw Scores (0-1)'!AA18=0.5,"Partial","No"))</f>
        <v>Yes</v>
      </c>
      <c r="AB18" s="22" t="str">
        <f>IF('Raw Scores (0-1)'!AB18=1,"Yes",IF('Raw Scores (0-1)'!AB18=0.5,"Partial","No"))</f>
        <v>Yes</v>
      </c>
      <c r="AC18" s="22" t="str">
        <f>IF('Raw Scores (0-1)'!AC18=1,"Yes",IF('Raw Scores (0-1)'!AC18=0.5,"Partial","No"))</f>
        <v>Yes</v>
      </c>
      <c r="AD18" s="22" t="str">
        <f>IF('Raw Scores (0-1)'!AD18=1,"Yes",IF('Raw Scores (0-1)'!AD18=0.5,"Partial","No"))</f>
        <v>Yes</v>
      </c>
      <c r="AE18" s="22" t="str">
        <f>IF('Raw Scores (0-1)'!AE18=1,"Yes",IF('Raw Scores (0-1)'!AE18=0.5,"Partial","No"))</f>
        <v>Partial</v>
      </c>
      <c r="AF18" s="22" t="str">
        <f>IF('Raw Scores (0-1)'!AF18=1,"Yes",IF('Raw Scores (0-1)'!AF18=0.5,"Partial","No"))</f>
        <v>Yes</v>
      </c>
      <c r="AG18" s="22" t="str">
        <f>IF('Raw Scores (0-1)'!AG18=1,"Yes",IF('Raw Scores (0-1)'!AG18=0.5,"Partial","No"))</f>
        <v>Partial</v>
      </c>
      <c r="AH18" s="22" t="str">
        <f>IF('Raw Scores (0-1)'!AH18=1,"Yes",IF('Raw Scores (0-1)'!AH18=0.5,"Partial","No"))</f>
        <v>Yes</v>
      </c>
      <c r="AI18" s="22" t="str">
        <f>IF('Raw Scores (0-1)'!AI18=1,"Yes",IF('Raw Scores (0-1)'!AI18=0.5,"Partial","No"))</f>
        <v>Partial</v>
      </c>
      <c r="AJ18" s="22" t="str">
        <f>IF('Raw Scores (0-1)'!AJ18=1,"Yes",IF('Raw Scores (0-1)'!AJ18=0.5,"Partial","No"))</f>
        <v>No</v>
      </c>
      <c r="AK18" s="20">
        <f>'Scores &amp; Ranking'!F18</f>
        <v>17.5</v>
      </c>
      <c r="AL18" s="20">
        <f>'Scores &amp; Ranking'!G18</f>
        <v>18</v>
      </c>
      <c r="AM18" s="20">
        <f>'Scores &amp; Ranking'!H18</f>
        <v>10</v>
      </c>
      <c r="AN18" s="20">
        <f>'Scores &amp; Ranking'!I18</f>
        <v>7.5</v>
      </c>
      <c r="AO18" s="20">
        <f>'Scores &amp; Ranking'!J18</f>
        <v>5</v>
      </c>
      <c r="AP18" s="23">
        <f>'Scores &amp; Ranking'!K18</f>
        <v>58</v>
      </c>
    </row>
    <row r="19">
      <c r="A19" s="12">
        <v>18.0</v>
      </c>
      <c r="B19" s="6" t="s">
        <v>143</v>
      </c>
      <c r="C19" s="12" t="s">
        <v>144</v>
      </c>
      <c r="D19" s="12" t="s">
        <v>145</v>
      </c>
      <c r="E19" s="3" t="s">
        <v>146</v>
      </c>
      <c r="F19" s="22" t="str">
        <f>IF('Raw Scores (0-1)'!F19=1,"Yes",IF('Raw Scores (0-1)'!F19=0.5,"Partial","No"))</f>
        <v>No</v>
      </c>
      <c r="G19" s="22" t="str">
        <f>IF('Raw Scores (0-1)'!G19=1,"Yes",IF('Raw Scores (0-1)'!G19=0.5,"Partial","No"))</f>
        <v>No</v>
      </c>
      <c r="H19" s="22" t="str">
        <f>IF('Raw Scores (0-1)'!H19=1,"Yes",IF('Raw Scores (0-1)'!H19=0.5,"Partial","No"))</f>
        <v>No</v>
      </c>
      <c r="I19" s="22" t="str">
        <f>IF('Raw Scores (0-1)'!I19=1,"Yes",IF('Raw Scores (0-1)'!I19=0.5,"Partial","No"))</f>
        <v>No</v>
      </c>
      <c r="J19" s="22" t="str">
        <f>IF('Raw Scores (0-1)'!J19=1,"Yes",IF('Raw Scores (0-1)'!J19=0.5,"Partial","No"))</f>
        <v>Yes</v>
      </c>
      <c r="K19" s="22" t="str">
        <f>IF('Raw Scores (0-1)'!K19=1,"Yes",IF('Raw Scores (0-1)'!K19=0.5,"Partial","No"))</f>
        <v>Partial</v>
      </c>
      <c r="L19" s="22" t="str">
        <f>IF('Raw Scores (0-1)'!L19=1,"Yes",IF('Raw Scores (0-1)'!L19=0.5,"Partial","No"))</f>
        <v>No</v>
      </c>
      <c r="M19" s="22" t="str">
        <f>IF('Raw Scores (0-1)'!M19=1,"Yes",IF('Raw Scores (0-1)'!M19=0.5,"Partial","No"))</f>
        <v>No</v>
      </c>
      <c r="N19" s="22" t="str">
        <f>IF('Raw Scores (0-1)'!N19=1,"Yes",IF('Raw Scores (0-1)'!N19=0.5,"Partial","No"))</f>
        <v>Yes</v>
      </c>
      <c r="O19" s="22" t="str">
        <f>IF('Raw Scores (0-1)'!O19=1,"Yes",IF('Raw Scores (0-1)'!O19=0.5,"Partial","No"))</f>
        <v>Yes</v>
      </c>
      <c r="P19" s="22" t="str">
        <f>IF('Raw Scores (0-1)'!P19=1,"Yes",IF('Raw Scores (0-1)'!P19=0.5,"Partial","No"))</f>
        <v>Yes</v>
      </c>
      <c r="Q19" s="22" t="str">
        <f>IF('Raw Scores (0-1)'!Q19=1,"Yes",IF('Raw Scores (0-1)'!Q19=0.5,"Partial","No"))</f>
        <v>No</v>
      </c>
      <c r="R19" s="22" t="str">
        <f>IF('Raw Scores (0-1)'!R19=1,"Yes",IF('Raw Scores (0-1)'!R19=0.5,"Partial","No"))</f>
        <v>Partial</v>
      </c>
      <c r="S19" s="22" t="str">
        <f>IF('Raw Scores (0-1)'!S19=1,"Yes",IF('Raw Scores (0-1)'!S19=0.5,"Partial","No"))</f>
        <v>Yes</v>
      </c>
      <c r="T19" s="22" t="str">
        <f>IF('Raw Scores (0-1)'!T19=1,"Yes",IF('Raw Scores (0-1)'!T19=0.5,"Partial","No"))</f>
        <v>Partial</v>
      </c>
      <c r="U19" s="22" t="str">
        <f>IF('Raw Scores (0-1)'!U19=1,"Yes",IF('Raw Scores (0-1)'!U19=0.5,"Partial","No"))</f>
        <v>Partial</v>
      </c>
      <c r="V19" s="22" t="str">
        <f>IF('Raw Scores (0-1)'!V19=1,"Yes",IF('Raw Scores (0-1)'!V19=0.5,"Partial","No"))</f>
        <v>Yes</v>
      </c>
      <c r="W19" s="22" t="str">
        <f>IF('Raw Scores (0-1)'!W19=1,"Yes",IF('Raw Scores (0-1)'!W19=0.5,"Partial","No"))</f>
        <v>No</v>
      </c>
      <c r="X19" s="22" t="str">
        <f>IF('Raw Scores (0-1)'!X19=1,"Yes",IF('Raw Scores (0-1)'!X19=0.5,"Partial","No"))</f>
        <v>No</v>
      </c>
      <c r="Y19" s="22" t="str">
        <f>IF('Raw Scores (0-1)'!Y19=1,"Yes",IF('Raw Scores (0-1)'!Y19=0.5,"Partial","No"))</f>
        <v>No</v>
      </c>
      <c r="Z19" s="22" t="str">
        <f>IF('Raw Scores (0-1)'!Z19=1,"Yes",IF('Raw Scores (0-1)'!Z19=0.5,"Partial","No"))</f>
        <v>No</v>
      </c>
      <c r="AA19" s="22" t="str">
        <f>IF('Raw Scores (0-1)'!AA19=1,"Yes",IF('Raw Scores (0-1)'!AA19=0.5,"Partial","No"))</f>
        <v>No</v>
      </c>
      <c r="AB19" s="22" t="str">
        <f>IF('Raw Scores (0-1)'!AB19=1,"Yes",IF('Raw Scores (0-1)'!AB19=0.5,"Partial","No"))</f>
        <v>No</v>
      </c>
      <c r="AC19" s="22" t="str">
        <f>IF('Raw Scores (0-1)'!AC19=1,"Yes",IF('Raw Scores (0-1)'!AC19=0.5,"Partial","No"))</f>
        <v>Yes</v>
      </c>
      <c r="AD19" s="22" t="str">
        <f>IF('Raw Scores (0-1)'!AD19=1,"Yes",IF('Raw Scores (0-1)'!AD19=0.5,"Partial","No"))</f>
        <v>Yes</v>
      </c>
      <c r="AE19" s="22" t="str">
        <f>IF('Raw Scores (0-1)'!AE19=1,"Yes",IF('Raw Scores (0-1)'!AE19=0.5,"Partial","No"))</f>
        <v>No</v>
      </c>
      <c r="AF19" s="22" t="str">
        <f>IF('Raw Scores (0-1)'!AF19=1,"Yes",IF('Raw Scores (0-1)'!AF19=0.5,"Partial","No"))</f>
        <v>No</v>
      </c>
      <c r="AG19" s="22" t="str">
        <f>IF('Raw Scores (0-1)'!AG19=1,"Yes",IF('Raw Scores (0-1)'!AG19=0.5,"Partial","No"))</f>
        <v>Partial</v>
      </c>
      <c r="AH19" s="22" t="str">
        <f>IF('Raw Scores (0-1)'!AH19=1,"Yes",IF('Raw Scores (0-1)'!AH19=0.5,"Partial","No"))</f>
        <v>No</v>
      </c>
      <c r="AI19" s="22" t="str">
        <f>IF('Raw Scores (0-1)'!AI19=1,"Yes",IF('Raw Scores (0-1)'!AI19=0.5,"Partial","No"))</f>
        <v>No</v>
      </c>
      <c r="AJ19" s="22" t="str">
        <f>IF('Raw Scores (0-1)'!AJ19=1,"Yes",IF('Raw Scores (0-1)'!AJ19=0.5,"Partial","No"))</f>
        <v>No</v>
      </c>
      <c r="AK19" s="20">
        <f>'Scores &amp; Ranking'!F19</f>
        <v>7.5</v>
      </c>
      <c r="AL19" s="20">
        <f>'Scores &amp; Ranking'!G19</f>
        <v>13</v>
      </c>
      <c r="AM19" s="20">
        <f>'Scores &amp; Ranking'!H19</f>
        <v>0</v>
      </c>
      <c r="AN19" s="20">
        <f>'Scores &amp; Ranking'!I19</f>
        <v>4.5</v>
      </c>
      <c r="AO19" s="20">
        <f>'Scores &amp; Ranking'!J19</f>
        <v>0</v>
      </c>
      <c r="AP19" s="23">
        <f>'Scores &amp; Ranking'!K19</f>
        <v>25</v>
      </c>
    </row>
    <row r="20">
      <c r="A20" s="12">
        <v>19.0</v>
      </c>
      <c r="B20" s="6" t="s">
        <v>147</v>
      </c>
      <c r="C20" s="12" t="s">
        <v>148</v>
      </c>
      <c r="D20" s="12" t="s">
        <v>120</v>
      </c>
      <c r="E20" s="3" t="s">
        <v>149</v>
      </c>
      <c r="F20" s="22" t="str">
        <f>IF('Raw Scores (0-1)'!F20=1,"Yes",IF('Raw Scores (0-1)'!F20=0.5,"Partial","No"))</f>
        <v>No</v>
      </c>
      <c r="G20" s="22" t="str">
        <f>IF('Raw Scores (0-1)'!G20=1,"Yes",IF('Raw Scores (0-1)'!G20=0.5,"Partial","No"))</f>
        <v>No</v>
      </c>
      <c r="H20" s="22" t="str">
        <f>IF('Raw Scores (0-1)'!H20=1,"Yes",IF('Raw Scores (0-1)'!H20=0.5,"Partial","No"))</f>
        <v>No</v>
      </c>
      <c r="I20" s="22" t="str">
        <f>IF('Raw Scores (0-1)'!I20=1,"Yes",IF('Raw Scores (0-1)'!I20=0.5,"Partial","No"))</f>
        <v>Partial</v>
      </c>
      <c r="J20" s="22" t="str">
        <f>IF('Raw Scores (0-1)'!J20=1,"Yes",IF('Raw Scores (0-1)'!J20=0.5,"Partial","No"))</f>
        <v>No</v>
      </c>
      <c r="K20" s="22" t="str">
        <f>IF('Raw Scores (0-1)'!K20=1,"Yes",IF('Raw Scores (0-1)'!K20=0.5,"Partial","No"))</f>
        <v>No</v>
      </c>
      <c r="L20" s="22" t="str">
        <f>IF('Raw Scores (0-1)'!L20=1,"Yes",IF('Raw Scores (0-1)'!L20=0.5,"Partial","No"))</f>
        <v>No</v>
      </c>
      <c r="M20" s="22" t="str">
        <f>IF('Raw Scores (0-1)'!M20=1,"Yes",IF('Raw Scores (0-1)'!M20=0.5,"Partial","No"))</f>
        <v>No</v>
      </c>
      <c r="N20" s="22" t="str">
        <f>IF('Raw Scores (0-1)'!N20=1,"Yes",IF('Raw Scores (0-1)'!N20=0.5,"Partial","No"))</f>
        <v>Yes</v>
      </c>
      <c r="O20" s="22" t="str">
        <f>IF('Raw Scores (0-1)'!O20=1,"Yes",IF('Raw Scores (0-1)'!O20=0.5,"Partial","No"))</f>
        <v>Yes</v>
      </c>
      <c r="P20" s="22" t="str">
        <f>IF('Raw Scores (0-1)'!P20=1,"Yes",IF('Raw Scores (0-1)'!P20=0.5,"Partial","No"))</f>
        <v>Yes</v>
      </c>
      <c r="Q20" s="22" t="str">
        <f>IF('Raw Scores (0-1)'!Q20=1,"Yes",IF('Raw Scores (0-1)'!Q20=0.5,"Partial","No"))</f>
        <v>Yes</v>
      </c>
      <c r="R20" s="22" t="str">
        <f>IF('Raw Scores (0-1)'!R20=1,"Yes",IF('Raw Scores (0-1)'!R20=0.5,"Partial","No"))</f>
        <v>Partial</v>
      </c>
      <c r="S20" s="22" t="str">
        <f>IF('Raw Scores (0-1)'!S20=1,"Yes",IF('Raw Scores (0-1)'!S20=0.5,"Partial","No"))</f>
        <v>Partial</v>
      </c>
      <c r="T20" s="22" t="str">
        <f>IF('Raw Scores (0-1)'!T20=1,"Yes",IF('Raw Scores (0-1)'!T20=0.5,"Partial","No"))</f>
        <v>Yes</v>
      </c>
      <c r="U20" s="22" t="str">
        <f>IF('Raw Scores (0-1)'!U20=1,"Yes",IF('Raw Scores (0-1)'!U20=0.5,"Partial","No"))</f>
        <v>Yes</v>
      </c>
      <c r="V20" s="22" t="str">
        <f>IF('Raw Scores (0-1)'!V20=1,"Yes",IF('Raw Scores (0-1)'!V20=0.5,"Partial","No"))</f>
        <v>Partial</v>
      </c>
      <c r="W20" s="22" t="str">
        <f>IF('Raw Scores (0-1)'!W20=1,"Yes",IF('Raw Scores (0-1)'!W20=0.5,"Partial","No"))</f>
        <v>Yes</v>
      </c>
      <c r="X20" s="22" t="str">
        <f>IF('Raw Scores (0-1)'!X20=1,"Yes",IF('Raw Scores (0-1)'!X20=0.5,"Partial","No"))</f>
        <v>Yes</v>
      </c>
      <c r="Y20" s="22" t="str">
        <f>IF('Raw Scores (0-1)'!Y20=1,"Yes",IF('Raw Scores (0-1)'!Y20=0.5,"Partial","No"))</f>
        <v>Partial</v>
      </c>
      <c r="Z20" s="22" t="str">
        <f>IF('Raw Scores (0-1)'!Z20=1,"Yes",IF('Raw Scores (0-1)'!Z20=0.5,"Partial","No"))</f>
        <v>Yes</v>
      </c>
      <c r="AA20" s="22" t="str">
        <f>IF('Raw Scores (0-1)'!AA20=1,"Yes",IF('Raw Scores (0-1)'!AA20=0.5,"Partial","No"))</f>
        <v>Yes</v>
      </c>
      <c r="AB20" s="22" t="str">
        <f>IF('Raw Scores (0-1)'!AB20=1,"Yes",IF('Raw Scores (0-1)'!AB20=0.5,"Partial","No"))</f>
        <v>No</v>
      </c>
      <c r="AC20" s="22" t="str">
        <f>IF('Raw Scores (0-1)'!AC20=1,"Yes",IF('Raw Scores (0-1)'!AC20=0.5,"Partial","No"))</f>
        <v>Yes</v>
      </c>
      <c r="AD20" s="22" t="str">
        <f>IF('Raw Scores (0-1)'!AD20=1,"Yes",IF('Raw Scores (0-1)'!AD20=0.5,"Partial","No"))</f>
        <v>Yes</v>
      </c>
      <c r="AE20" s="22" t="str">
        <f>IF('Raw Scores (0-1)'!AE20=1,"Yes",IF('Raw Scores (0-1)'!AE20=0.5,"Partial","No"))</f>
        <v>Yes</v>
      </c>
      <c r="AF20" s="22" t="str">
        <f>IF('Raw Scores (0-1)'!AF20=1,"Yes",IF('Raw Scores (0-1)'!AF20=0.5,"Partial","No"))</f>
        <v>Yes</v>
      </c>
      <c r="AG20" s="22" t="str">
        <f>IF('Raw Scores (0-1)'!AG20=1,"Yes",IF('Raw Scores (0-1)'!AG20=0.5,"Partial","No"))</f>
        <v>Partial</v>
      </c>
      <c r="AH20" s="22" t="str">
        <f>IF('Raw Scores (0-1)'!AH20=1,"Yes",IF('Raw Scores (0-1)'!AH20=0.5,"Partial","No"))</f>
        <v>Yes</v>
      </c>
      <c r="AI20" s="22" t="str">
        <f>IF('Raw Scores (0-1)'!AI20=1,"Yes",IF('Raw Scores (0-1)'!AI20=0.5,"Partial","No"))</f>
        <v>No</v>
      </c>
      <c r="AJ20" s="22" t="str">
        <f>IF('Raw Scores (0-1)'!AJ20=1,"Yes",IF('Raw Scores (0-1)'!AJ20=0.5,"Partial","No"))</f>
        <v>No</v>
      </c>
      <c r="AK20" s="20">
        <f>'Scores &amp; Ranking'!F20</f>
        <v>2.5</v>
      </c>
      <c r="AL20" s="20">
        <f>'Scores &amp; Ranking'!G20</f>
        <v>17</v>
      </c>
      <c r="AM20" s="20">
        <f>'Scores &amp; Ranking'!H20</f>
        <v>7</v>
      </c>
      <c r="AN20" s="20">
        <f>'Scores &amp; Ranking'!I20</f>
        <v>8.5</v>
      </c>
      <c r="AO20" s="20">
        <f>'Scores &amp; Ranking'!J20</f>
        <v>3</v>
      </c>
      <c r="AP20" s="23">
        <f>'Scores &amp; Ranking'!K20</f>
        <v>38</v>
      </c>
    </row>
    <row r="21" ht="15.75" customHeight="1">
      <c r="A21" s="12">
        <v>20.0</v>
      </c>
      <c r="B21" s="6" t="s">
        <v>150</v>
      </c>
      <c r="C21" s="12" t="s">
        <v>119</v>
      </c>
      <c r="D21" s="12" t="s">
        <v>151</v>
      </c>
      <c r="E21" s="3" t="s">
        <v>152</v>
      </c>
      <c r="F21" s="22" t="str">
        <f>IF('Raw Scores (0-1)'!F21=1,"Yes",IF('Raw Scores (0-1)'!F21=0.5,"Partial","No"))</f>
        <v>Partial</v>
      </c>
      <c r="G21" s="22" t="str">
        <f>IF('Raw Scores (0-1)'!G21=1,"Yes",IF('Raw Scores (0-1)'!G21=0.5,"Partial","No"))</f>
        <v>No</v>
      </c>
      <c r="H21" s="22" t="str">
        <f>IF('Raw Scores (0-1)'!H21=1,"Yes",IF('Raw Scores (0-1)'!H21=0.5,"Partial","No"))</f>
        <v>No</v>
      </c>
      <c r="I21" s="22" t="str">
        <f>IF('Raw Scores (0-1)'!I21=1,"Yes",IF('Raw Scores (0-1)'!I21=0.5,"Partial","No"))</f>
        <v>Yes</v>
      </c>
      <c r="J21" s="22" t="str">
        <f>IF('Raw Scores (0-1)'!J21=1,"Yes",IF('Raw Scores (0-1)'!J21=0.5,"Partial","No"))</f>
        <v>Yes</v>
      </c>
      <c r="K21" s="22" t="str">
        <f>IF('Raw Scores (0-1)'!K21=1,"Yes",IF('Raw Scores (0-1)'!K21=0.5,"Partial","No"))</f>
        <v>No</v>
      </c>
      <c r="L21" s="22" t="str">
        <f>IF('Raw Scores (0-1)'!L21=1,"Yes",IF('Raw Scores (0-1)'!L21=0.5,"Partial","No"))</f>
        <v>No</v>
      </c>
      <c r="M21" s="22" t="str">
        <f>IF('Raw Scores (0-1)'!M21=1,"Yes",IF('Raw Scores (0-1)'!M21=0.5,"Partial","No"))</f>
        <v>No</v>
      </c>
      <c r="N21" s="22" t="str">
        <f>IF('Raw Scores (0-1)'!N21=1,"Yes",IF('Raw Scores (0-1)'!N21=0.5,"Partial","No"))</f>
        <v>Yes</v>
      </c>
      <c r="O21" s="22" t="str">
        <f>IF('Raw Scores (0-1)'!O21=1,"Yes",IF('Raw Scores (0-1)'!O21=0.5,"Partial","No"))</f>
        <v>Yes</v>
      </c>
      <c r="P21" s="22" t="str">
        <f>IF('Raw Scores (0-1)'!P21=1,"Yes",IF('Raw Scores (0-1)'!P21=0.5,"Partial","No"))</f>
        <v>Yes</v>
      </c>
      <c r="Q21" s="22" t="str">
        <f>IF('Raw Scores (0-1)'!Q21=1,"Yes",IF('Raw Scores (0-1)'!Q21=0.5,"Partial","No"))</f>
        <v>Yes</v>
      </c>
      <c r="R21" s="22" t="str">
        <f>IF('Raw Scores (0-1)'!R21=1,"Yes",IF('Raw Scores (0-1)'!R21=0.5,"Partial","No"))</f>
        <v>Yes</v>
      </c>
      <c r="S21" s="22" t="str">
        <f>IF('Raw Scores (0-1)'!S21=1,"Yes",IF('Raw Scores (0-1)'!S21=0.5,"Partial","No"))</f>
        <v>Yes</v>
      </c>
      <c r="T21" s="22" t="str">
        <f>IF('Raw Scores (0-1)'!T21=1,"Yes",IF('Raw Scores (0-1)'!T21=0.5,"Partial","No"))</f>
        <v>Yes</v>
      </c>
      <c r="U21" s="22" t="str">
        <f>IF('Raw Scores (0-1)'!U21=1,"Yes",IF('Raw Scores (0-1)'!U21=0.5,"Partial","No"))</f>
        <v>Yes</v>
      </c>
      <c r="V21" s="22" t="str">
        <f>IF('Raw Scores (0-1)'!V21=1,"Yes",IF('Raw Scores (0-1)'!V21=0.5,"Partial","No"))</f>
        <v>Yes</v>
      </c>
      <c r="W21" s="22" t="str">
        <f>IF('Raw Scores (0-1)'!W21=1,"Yes",IF('Raw Scores (0-1)'!W21=0.5,"Partial","No"))</f>
        <v>Yes</v>
      </c>
      <c r="X21" s="22" t="str">
        <f>IF('Raw Scores (0-1)'!X21=1,"Yes",IF('Raw Scores (0-1)'!X21=0.5,"Partial","No"))</f>
        <v>Yes</v>
      </c>
      <c r="Y21" s="22" t="str">
        <f>IF('Raw Scores (0-1)'!Y21=1,"Yes",IF('Raw Scores (0-1)'!Y21=0.5,"Partial","No"))</f>
        <v>Yes</v>
      </c>
      <c r="Z21" s="22" t="str">
        <f>IF('Raw Scores (0-1)'!Z21=1,"Yes",IF('Raw Scores (0-1)'!Z21=0.5,"Partial","No"))</f>
        <v>Yes</v>
      </c>
      <c r="AA21" s="22" t="str">
        <f>IF('Raw Scores (0-1)'!AA21=1,"Yes",IF('Raw Scores (0-1)'!AA21=0.5,"Partial","No"))</f>
        <v>Yes</v>
      </c>
      <c r="AB21" s="22" t="str">
        <f>IF('Raw Scores (0-1)'!AB21=1,"Yes",IF('Raw Scores (0-1)'!AB21=0.5,"Partial","No"))</f>
        <v>Yes</v>
      </c>
      <c r="AC21" s="22" t="str">
        <f>IF('Raw Scores (0-1)'!AC21=1,"Yes",IF('Raw Scores (0-1)'!AC21=0.5,"Partial","No"))</f>
        <v>Yes</v>
      </c>
      <c r="AD21" s="22" t="str">
        <f>IF('Raw Scores (0-1)'!AD21=1,"Yes",IF('Raw Scores (0-1)'!AD21=0.5,"Partial","No"))</f>
        <v>Yes</v>
      </c>
      <c r="AE21" s="22" t="str">
        <f>IF('Raw Scores (0-1)'!AE21=1,"Yes",IF('Raw Scores (0-1)'!AE21=0.5,"Partial","No"))</f>
        <v>Yes</v>
      </c>
      <c r="AF21" s="22" t="str">
        <f>IF('Raw Scores (0-1)'!AF21=1,"Yes",IF('Raw Scores (0-1)'!AF21=0.5,"Partial","No"))</f>
        <v>Yes</v>
      </c>
      <c r="AG21" s="22" t="str">
        <f>IF('Raw Scores (0-1)'!AG21=1,"Yes",IF('Raw Scores (0-1)'!AG21=0.5,"Partial","No"))</f>
        <v>Yes</v>
      </c>
      <c r="AH21" s="22" t="str">
        <f>IF('Raw Scores (0-1)'!AH21=1,"Yes",IF('Raw Scores (0-1)'!AH21=0.5,"Partial","No"))</f>
        <v>Partial</v>
      </c>
      <c r="AI21" s="22" t="str">
        <f>IF('Raw Scores (0-1)'!AI21=1,"Yes",IF('Raw Scores (0-1)'!AI21=0.5,"Partial","No"))</f>
        <v>Yes</v>
      </c>
      <c r="AJ21" s="22" t="str">
        <f>IF('Raw Scores (0-1)'!AJ21=1,"Yes",IF('Raw Scores (0-1)'!AJ21=0.5,"Partial","No"))</f>
        <v>Partial</v>
      </c>
      <c r="AK21" s="20">
        <f>'Scores &amp; Ranking'!F21</f>
        <v>17.5</v>
      </c>
      <c r="AL21" s="20">
        <f>'Scores &amp; Ranking'!G21</f>
        <v>20</v>
      </c>
      <c r="AM21" s="20">
        <f>'Scores &amp; Ranking'!H21</f>
        <v>10</v>
      </c>
      <c r="AN21" s="20">
        <f>'Scores &amp; Ranking'!I21</f>
        <v>10</v>
      </c>
      <c r="AO21" s="20">
        <f>'Scores &amp; Ranking'!J21</f>
        <v>7</v>
      </c>
      <c r="AP21" s="23">
        <f>'Scores &amp; Ranking'!K21</f>
        <v>64.5</v>
      </c>
    </row>
    <row r="22" ht="15.75" customHeight="1">
      <c r="A22" s="12">
        <v>21.0</v>
      </c>
      <c r="B22" s="6" t="s">
        <v>153</v>
      </c>
      <c r="C22" s="12" t="s">
        <v>154</v>
      </c>
      <c r="D22" s="12" t="s">
        <v>155</v>
      </c>
      <c r="E22" s="3" t="s">
        <v>156</v>
      </c>
      <c r="F22" s="22" t="str">
        <f>IF('Raw Scores (0-1)'!F22=1,"Yes",IF('Raw Scores (0-1)'!F22=0.5,"Partial","No"))</f>
        <v>Yes</v>
      </c>
      <c r="G22" s="22" t="str">
        <f>IF('Raw Scores (0-1)'!G22=1,"Yes",IF('Raw Scores (0-1)'!G22=0.5,"Partial","No"))</f>
        <v>Yes</v>
      </c>
      <c r="H22" s="22" t="str">
        <f>IF('Raw Scores (0-1)'!H22=1,"Yes",IF('Raw Scores (0-1)'!H22=0.5,"Partial","No"))</f>
        <v>Partial</v>
      </c>
      <c r="I22" s="22" t="str">
        <f>IF('Raw Scores (0-1)'!I22=1,"Yes",IF('Raw Scores (0-1)'!I22=0.5,"Partial","No"))</f>
        <v>Yes</v>
      </c>
      <c r="J22" s="22" t="str">
        <f>IF('Raw Scores (0-1)'!J22=1,"Yes",IF('Raw Scores (0-1)'!J22=0.5,"Partial","No"))</f>
        <v>No</v>
      </c>
      <c r="K22" s="22" t="str">
        <f>IF('Raw Scores (0-1)'!K22=1,"Yes",IF('Raw Scores (0-1)'!K22=0.5,"Partial","No"))</f>
        <v>Yes</v>
      </c>
      <c r="L22" s="22" t="str">
        <f>IF('Raw Scores (0-1)'!L22=1,"Yes",IF('Raw Scores (0-1)'!L22=0.5,"Partial","No"))</f>
        <v>Partial</v>
      </c>
      <c r="M22" s="22" t="str">
        <f>IF('Raw Scores (0-1)'!M22=1,"Yes",IF('Raw Scores (0-1)'!M22=0.5,"Partial","No"))</f>
        <v>Yes</v>
      </c>
      <c r="N22" s="22" t="str">
        <f>IF('Raw Scores (0-1)'!N22=1,"Yes",IF('Raw Scores (0-1)'!N22=0.5,"Partial","No"))</f>
        <v>Yes</v>
      </c>
      <c r="O22" s="22" t="str">
        <f>IF('Raw Scores (0-1)'!O22=1,"Yes",IF('Raw Scores (0-1)'!O22=0.5,"Partial","No"))</f>
        <v>Yes</v>
      </c>
      <c r="P22" s="22" t="str">
        <f>IF('Raw Scores (0-1)'!P22=1,"Yes",IF('Raw Scores (0-1)'!P22=0.5,"Partial","No"))</f>
        <v>Yes</v>
      </c>
      <c r="Q22" s="22" t="str">
        <f>IF('Raw Scores (0-1)'!Q22=1,"Yes",IF('Raw Scores (0-1)'!Q22=0.5,"Partial","No"))</f>
        <v>Yes</v>
      </c>
      <c r="R22" s="22" t="str">
        <f>IF('Raw Scores (0-1)'!R22=1,"Yes",IF('Raw Scores (0-1)'!R22=0.5,"Partial","No"))</f>
        <v>Yes</v>
      </c>
      <c r="S22" s="22" t="str">
        <f>IF('Raw Scores (0-1)'!S22=1,"Yes",IF('Raw Scores (0-1)'!S22=0.5,"Partial","No"))</f>
        <v>Yes</v>
      </c>
      <c r="T22" s="22" t="str">
        <f>IF('Raw Scores (0-1)'!T22=1,"Yes",IF('Raw Scores (0-1)'!T22=0.5,"Partial","No"))</f>
        <v>Yes</v>
      </c>
      <c r="U22" s="22" t="str">
        <f>IF('Raw Scores (0-1)'!U22=1,"Yes",IF('Raw Scores (0-1)'!U22=0.5,"Partial","No"))</f>
        <v>Yes</v>
      </c>
      <c r="V22" s="22" t="str">
        <f>IF('Raw Scores (0-1)'!V22=1,"Yes",IF('Raw Scores (0-1)'!V22=0.5,"Partial","No"))</f>
        <v>Yes</v>
      </c>
      <c r="W22" s="22" t="str">
        <f>IF('Raw Scores (0-1)'!W22=1,"Yes",IF('Raw Scores (0-1)'!W22=0.5,"Partial","No"))</f>
        <v>Yes</v>
      </c>
      <c r="X22" s="22" t="str">
        <f>IF('Raw Scores (0-1)'!X22=1,"Yes",IF('Raw Scores (0-1)'!X22=0.5,"Partial","No"))</f>
        <v>Yes</v>
      </c>
      <c r="Y22" s="22" t="str">
        <f>IF('Raw Scores (0-1)'!Y22=1,"Yes",IF('Raw Scores (0-1)'!Y22=0.5,"Partial","No"))</f>
        <v>Yes</v>
      </c>
      <c r="Z22" s="22" t="str">
        <f>IF('Raw Scores (0-1)'!Z22=1,"Yes",IF('Raw Scores (0-1)'!Z22=0.5,"Partial","No"))</f>
        <v>Yes</v>
      </c>
      <c r="AA22" s="22" t="str">
        <f>IF('Raw Scores (0-1)'!AA22=1,"Yes",IF('Raw Scores (0-1)'!AA22=0.5,"Partial","No"))</f>
        <v>Yes</v>
      </c>
      <c r="AB22" s="22" t="str">
        <f>IF('Raw Scores (0-1)'!AB22=1,"Yes",IF('Raw Scores (0-1)'!AB22=0.5,"Partial","No"))</f>
        <v>Yes</v>
      </c>
      <c r="AC22" s="22" t="str">
        <f>IF('Raw Scores (0-1)'!AC22=1,"Yes",IF('Raw Scores (0-1)'!AC22=0.5,"Partial","No"))</f>
        <v>Yes</v>
      </c>
      <c r="AD22" s="22" t="str">
        <f>IF('Raw Scores (0-1)'!AD22=1,"Yes",IF('Raw Scores (0-1)'!AD22=0.5,"Partial","No"))</f>
        <v>Yes</v>
      </c>
      <c r="AE22" s="22" t="str">
        <f>IF('Raw Scores (0-1)'!AE22=1,"Yes",IF('Raw Scores (0-1)'!AE22=0.5,"Partial","No"))</f>
        <v>Yes</v>
      </c>
      <c r="AF22" s="22" t="str">
        <f>IF('Raw Scores (0-1)'!AF22=1,"Yes",IF('Raw Scores (0-1)'!AF22=0.5,"Partial","No"))</f>
        <v>No</v>
      </c>
      <c r="AG22" s="22" t="str">
        <f>IF('Raw Scores (0-1)'!AG22=1,"Yes",IF('Raw Scores (0-1)'!AG22=0.5,"Partial","No"))</f>
        <v>Yes</v>
      </c>
      <c r="AH22" s="22" t="str">
        <f>IF('Raw Scores (0-1)'!AH22=1,"Yes",IF('Raw Scores (0-1)'!AH22=0.5,"Partial","No"))</f>
        <v>Yes</v>
      </c>
      <c r="AI22" s="22" t="str">
        <f>IF('Raw Scores (0-1)'!AI22=1,"Yes",IF('Raw Scores (0-1)'!AI22=0.5,"Partial","No"))</f>
        <v>Yes</v>
      </c>
      <c r="AJ22" s="22" t="str">
        <f>IF('Raw Scores (0-1)'!AJ22=1,"Yes",IF('Raw Scores (0-1)'!AJ22=0.5,"Partial","No"))</f>
        <v>Yes</v>
      </c>
      <c r="AK22" s="20">
        <f>'Scores &amp; Ranking'!F22</f>
        <v>40</v>
      </c>
      <c r="AL22" s="20">
        <f>'Scores &amp; Ranking'!G22</f>
        <v>20</v>
      </c>
      <c r="AM22" s="20">
        <f>'Scores &amp; Ranking'!H22</f>
        <v>10</v>
      </c>
      <c r="AN22" s="20">
        <f>'Scores &amp; Ranking'!I22</f>
        <v>8</v>
      </c>
      <c r="AO22" s="20">
        <f>'Scores &amp; Ranking'!J22</f>
        <v>10</v>
      </c>
      <c r="AP22" s="23">
        <f>'Scores &amp; Ranking'!K22</f>
        <v>88</v>
      </c>
    </row>
    <row r="23" ht="15.75" customHeight="1">
      <c r="A23" s="12">
        <v>22.0</v>
      </c>
      <c r="B23" s="6" t="s">
        <v>157</v>
      </c>
      <c r="C23" s="12" t="s">
        <v>154</v>
      </c>
      <c r="D23" s="12" t="s">
        <v>158</v>
      </c>
      <c r="E23" s="3" t="s">
        <v>159</v>
      </c>
      <c r="F23" s="22" t="str">
        <f>IF('Raw Scores (0-1)'!F23=1,"Yes",IF('Raw Scores (0-1)'!F23=0.5,"Partial","No"))</f>
        <v>Yes</v>
      </c>
      <c r="G23" s="22" t="str">
        <f>IF('Raw Scores (0-1)'!G23=1,"Yes",IF('Raw Scores (0-1)'!G23=0.5,"Partial","No"))</f>
        <v>Yes</v>
      </c>
      <c r="H23" s="22" t="str">
        <f>IF('Raw Scores (0-1)'!H23=1,"Yes",IF('Raw Scores (0-1)'!H23=0.5,"Partial","No"))</f>
        <v>No</v>
      </c>
      <c r="I23" s="22" t="str">
        <f>IF('Raw Scores (0-1)'!I23=1,"Yes",IF('Raw Scores (0-1)'!I23=0.5,"Partial","No"))</f>
        <v>Yes</v>
      </c>
      <c r="J23" s="22" t="str">
        <f>IF('Raw Scores (0-1)'!J23=1,"Yes",IF('Raw Scores (0-1)'!J23=0.5,"Partial","No"))</f>
        <v>Yes</v>
      </c>
      <c r="K23" s="22" t="str">
        <f>IF('Raw Scores (0-1)'!K23=1,"Yes",IF('Raw Scores (0-1)'!K23=0.5,"Partial","No"))</f>
        <v>Yes</v>
      </c>
      <c r="L23" s="22" t="str">
        <f>IF('Raw Scores (0-1)'!L23=1,"Yes",IF('Raw Scores (0-1)'!L23=0.5,"Partial","No"))</f>
        <v>Yes</v>
      </c>
      <c r="M23" s="22" t="str">
        <f>IF('Raw Scores (0-1)'!M23=1,"Yes",IF('Raw Scores (0-1)'!M23=0.5,"Partial","No"))</f>
        <v>Partial</v>
      </c>
      <c r="N23" s="22" t="str">
        <f>IF('Raw Scores (0-1)'!N23=1,"Yes",IF('Raw Scores (0-1)'!N23=0.5,"Partial","No"))</f>
        <v>Yes</v>
      </c>
      <c r="O23" s="22" t="str">
        <f>IF('Raw Scores (0-1)'!O23=1,"Yes",IF('Raw Scores (0-1)'!O23=0.5,"Partial","No"))</f>
        <v>Yes</v>
      </c>
      <c r="P23" s="22" t="str">
        <f>IF('Raw Scores (0-1)'!P23=1,"Yes",IF('Raw Scores (0-1)'!P23=0.5,"Partial","No"))</f>
        <v>Yes</v>
      </c>
      <c r="Q23" s="22" t="str">
        <f>IF('Raw Scores (0-1)'!Q23=1,"Yes",IF('Raw Scores (0-1)'!Q23=0.5,"Partial","No"))</f>
        <v>Yes</v>
      </c>
      <c r="R23" s="22" t="str">
        <f>IF('Raw Scores (0-1)'!R23=1,"Yes",IF('Raw Scores (0-1)'!R23=0.5,"Partial","No"))</f>
        <v>Yes</v>
      </c>
      <c r="S23" s="22" t="str">
        <f>IF('Raw Scores (0-1)'!S23=1,"Yes",IF('Raw Scores (0-1)'!S23=0.5,"Partial","No"))</f>
        <v>Yes</v>
      </c>
      <c r="T23" s="22" t="str">
        <f>IF('Raw Scores (0-1)'!T23=1,"Yes",IF('Raw Scores (0-1)'!T23=0.5,"Partial","No"))</f>
        <v>Yes</v>
      </c>
      <c r="U23" s="22" t="str">
        <f>IF('Raw Scores (0-1)'!U23=1,"Yes",IF('Raw Scores (0-1)'!U23=0.5,"Partial","No"))</f>
        <v>Yes</v>
      </c>
      <c r="V23" s="22" t="str">
        <f>IF('Raw Scores (0-1)'!V23=1,"Yes",IF('Raw Scores (0-1)'!V23=0.5,"Partial","No"))</f>
        <v>Yes</v>
      </c>
      <c r="W23" s="22" t="str">
        <f>IF('Raw Scores (0-1)'!W23=1,"Yes",IF('Raw Scores (0-1)'!W23=0.5,"Partial","No"))</f>
        <v>Partial</v>
      </c>
      <c r="X23" s="22" t="str">
        <f>IF('Raw Scores (0-1)'!X23=1,"Yes",IF('Raw Scores (0-1)'!X23=0.5,"Partial","No"))</f>
        <v>Yes</v>
      </c>
      <c r="Y23" s="22" t="str">
        <f>IF('Raw Scores (0-1)'!Y23=1,"Yes",IF('Raw Scores (0-1)'!Y23=0.5,"Partial","No"))</f>
        <v>Yes</v>
      </c>
      <c r="Z23" s="22" t="str">
        <f>IF('Raw Scores (0-1)'!Z23=1,"Yes",IF('Raw Scores (0-1)'!Z23=0.5,"Partial","No"))</f>
        <v>Yes</v>
      </c>
      <c r="AA23" s="22" t="str">
        <f>IF('Raw Scores (0-1)'!AA23=1,"Yes",IF('Raw Scores (0-1)'!AA23=0.5,"Partial","No"))</f>
        <v>Yes</v>
      </c>
      <c r="AB23" s="22" t="str">
        <f>IF('Raw Scores (0-1)'!AB23=1,"Yes",IF('Raw Scores (0-1)'!AB23=0.5,"Partial","No"))</f>
        <v>Yes</v>
      </c>
      <c r="AC23" s="22" t="str">
        <f>IF('Raw Scores (0-1)'!AC23=1,"Yes",IF('Raw Scores (0-1)'!AC23=0.5,"Partial","No"))</f>
        <v>Yes</v>
      </c>
      <c r="AD23" s="22" t="str">
        <f>IF('Raw Scores (0-1)'!AD23=1,"Yes",IF('Raw Scores (0-1)'!AD23=0.5,"Partial","No"))</f>
        <v>Yes</v>
      </c>
      <c r="AE23" s="22" t="str">
        <f>IF('Raw Scores (0-1)'!AE23=1,"Yes",IF('Raw Scores (0-1)'!AE23=0.5,"Partial","No"))</f>
        <v>Yes</v>
      </c>
      <c r="AF23" s="22" t="str">
        <f>IF('Raw Scores (0-1)'!AF23=1,"Yes",IF('Raw Scores (0-1)'!AF23=0.5,"Partial","No"))</f>
        <v>Yes</v>
      </c>
      <c r="AG23" s="22" t="str">
        <f>IF('Raw Scores (0-1)'!AG23=1,"Yes",IF('Raw Scores (0-1)'!AG23=0.5,"Partial","No"))</f>
        <v>Yes</v>
      </c>
      <c r="AH23" s="22" t="str">
        <f>IF('Raw Scores (0-1)'!AH23=1,"Yes",IF('Raw Scores (0-1)'!AH23=0.5,"Partial","No"))</f>
        <v>Yes</v>
      </c>
      <c r="AI23" s="22" t="str">
        <f>IF('Raw Scores (0-1)'!AI23=1,"Yes",IF('Raw Scores (0-1)'!AI23=0.5,"Partial","No"))</f>
        <v>Yes</v>
      </c>
      <c r="AJ23" s="22" t="str">
        <f>IF('Raw Scores (0-1)'!AJ23=1,"Yes",IF('Raw Scores (0-1)'!AJ23=0.5,"Partial","No"))</f>
        <v>Partial</v>
      </c>
      <c r="AK23" s="20">
        <f>'Scores &amp; Ranking'!F23</f>
        <v>42.5</v>
      </c>
      <c r="AL23" s="20">
        <f>'Scores &amp; Ranking'!G23</f>
        <v>19</v>
      </c>
      <c r="AM23" s="20">
        <f>'Scores &amp; Ranking'!H23</f>
        <v>10</v>
      </c>
      <c r="AN23" s="20">
        <f>'Scores &amp; Ranking'!I23</f>
        <v>10</v>
      </c>
      <c r="AO23" s="20">
        <f>'Scores &amp; Ranking'!J23</f>
        <v>8.5</v>
      </c>
      <c r="AP23" s="23">
        <f>'Scores &amp; Ranking'!K23</f>
        <v>90</v>
      </c>
    </row>
    <row r="24" ht="15.75" customHeight="1">
      <c r="A24" s="12">
        <v>23.0</v>
      </c>
      <c r="B24" s="6" t="s">
        <v>160</v>
      </c>
      <c r="C24" s="12" t="s">
        <v>154</v>
      </c>
      <c r="D24" s="12" t="s">
        <v>161</v>
      </c>
      <c r="E24" s="3" t="s">
        <v>162</v>
      </c>
      <c r="F24" s="22" t="str">
        <f>IF('Raw Scores (0-1)'!F24=1,"Yes",IF('Raw Scores (0-1)'!F24=0.5,"Partial","No"))</f>
        <v>Yes</v>
      </c>
      <c r="G24" s="22" t="str">
        <f>IF('Raw Scores (0-1)'!G24=1,"Yes",IF('Raw Scores (0-1)'!G24=0.5,"Partial","No"))</f>
        <v>Yes</v>
      </c>
      <c r="H24" s="22" t="str">
        <f>IF('Raw Scores (0-1)'!H24=1,"Yes",IF('Raw Scores (0-1)'!H24=0.5,"Partial","No"))</f>
        <v>Yes</v>
      </c>
      <c r="I24" s="22" t="str">
        <f>IF('Raw Scores (0-1)'!I24=1,"Yes",IF('Raw Scores (0-1)'!I24=0.5,"Partial","No"))</f>
        <v>Yes</v>
      </c>
      <c r="J24" s="22" t="str">
        <f>IF('Raw Scores (0-1)'!J24=1,"Yes",IF('Raw Scores (0-1)'!J24=0.5,"Partial","No"))</f>
        <v>Yes</v>
      </c>
      <c r="K24" s="22" t="str">
        <f>IF('Raw Scores (0-1)'!K24=1,"Yes",IF('Raw Scores (0-1)'!K24=0.5,"Partial","No"))</f>
        <v>Yes</v>
      </c>
      <c r="L24" s="22" t="str">
        <f>IF('Raw Scores (0-1)'!L24=1,"Yes",IF('Raw Scores (0-1)'!L24=0.5,"Partial","No"))</f>
        <v>Yes</v>
      </c>
      <c r="M24" s="22" t="str">
        <f>IF('Raw Scores (0-1)'!M24=1,"Yes",IF('Raw Scores (0-1)'!M24=0.5,"Partial","No"))</f>
        <v>Yes</v>
      </c>
      <c r="N24" s="22" t="str">
        <f>IF('Raw Scores (0-1)'!N24=1,"Yes",IF('Raw Scores (0-1)'!N24=0.5,"Partial","No"))</f>
        <v>Yes</v>
      </c>
      <c r="O24" s="22" t="str">
        <f>IF('Raw Scores (0-1)'!O24=1,"Yes",IF('Raw Scores (0-1)'!O24=0.5,"Partial","No"))</f>
        <v>Yes</v>
      </c>
      <c r="P24" s="22" t="str">
        <f>IF('Raw Scores (0-1)'!P24=1,"Yes",IF('Raw Scores (0-1)'!P24=0.5,"Partial","No"))</f>
        <v>Yes</v>
      </c>
      <c r="Q24" s="22" t="str">
        <f>IF('Raw Scores (0-1)'!Q24=1,"Yes",IF('Raw Scores (0-1)'!Q24=0.5,"Partial","No"))</f>
        <v>No</v>
      </c>
      <c r="R24" s="22" t="str">
        <f>IF('Raw Scores (0-1)'!R24=1,"Yes",IF('Raw Scores (0-1)'!R24=0.5,"Partial","No"))</f>
        <v>Yes</v>
      </c>
      <c r="S24" s="22" t="str">
        <f>IF('Raw Scores (0-1)'!S24=1,"Yes",IF('Raw Scores (0-1)'!S24=0.5,"Partial","No"))</f>
        <v>Yes</v>
      </c>
      <c r="T24" s="22" t="str">
        <f>IF('Raw Scores (0-1)'!T24=1,"Yes",IF('Raw Scores (0-1)'!T24=0.5,"Partial","No"))</f>
        <v>Yes</v>
      </c>
      <c r="U24" s="22" t="str">
        <f>IF('Raw Scores (0-1)'!U24=1,"Yes",IF('Raw Scores (0-1)'!U24=0.5,"Partial","No"))</f>
        <v>Yes</v>
      </c>
      <c r="V24" s="22" t="str">
        <f>IF('Raw Scores (0-1)'!V24=1,"Yes",IF('Raw Scores (0-1)'!V24=0.5,"Partial","No"))</f>
        <v>Yes</v>
      </c>
      <c r="W24" s="22" t="str">
        <f>IF('Raw Scores (0-1)'!W24=1,"Yes",IF('Raw Scores (0-1)'!W24=0.5,"Partial","No"))</f>
        <v>Partial</v>
      </c>
      <c r="X24" s="22" t="str">
        <f>IF('Raw Scores (0-1)'!X24=1,"Yes",IF('Raw Scores (0-1)'!X24=0.5,"Partial","No"))</f>
        <v>Yes</v>
      </c>
      <c r="Y24" s="22" t="str">
        <f>IF('Raw Scores (0-1)'!Y24=1,"Yes",IF('Raw Scores (0-1)'!Y24=0.5,"Partial","No"))</f>
        <v>Yes</v>
      </c>
      <c r="Z24" s="22" t="str">
        <f>IF('Raw Scores (0-1)'!Z24=1,"Yes",IF('Raw Scores (0-1)'!Z24=0.5,"Partial","No"))</f>
        <v>Yes</v>
      </c>
      <c r="AA24" s="22" t="str">
        <f>IF('Raw Scores (0-1)'!AA24=1,"Yes",IF('Raw Scores (0-1)'!AA24=0.5,"Partial","No"))</f>
        <v>Yes</v>
      </c>
      <c r="AB24" s="22" t="str">
        <f>IF('Raw Scores (0-1)'!AB24=1,"Yes",IF('Raw Scores (0-1)'!AB24=0.5,"Partial","No"))</f>
        <v>Yes</v>
      </c>
      <c r="AC24" s="22" t="str">
        <f>IF('Raw Scores (0-1)'!AC24=1,"Yes",IF('Raw Scores (0-1)'!AC24=0.5,"Partial","No"))</f>
        <v>Yes</v>
      </c>
      <c r="AD24" s="22" t="str">
        <f>IF('Raw Scores (0-1)'!AD24=1,"Yes",IF('Raw Scores (0-1)'!AD24=0.5,"Partial","No"))</f>
        <v>Yes</v>
      </c>
      <c r="AE24" s="22" t="str">
        <f>IF('Raw Scores (0-1)'!AE24=1,"Yes",IF('Raw Scores (0-1)'!AE24=0.5,"Partial","No"))</f>
        <v>Yes</v>
      </c>
      <c r="AF24" s="22" t="str">
        <f>IF('Raw Scores (0-1)'!AF24=1,"Yes",IF('Raw Scores (0-1)'!AF24=0.5,"Partial","No"))</f>
        <v>Yes</v>
      </c>
      <c r="AG24" s="22" t="str">
        <f>IF('Raw Scores (0-1)'!AG24=1,"Yes",IF('Raw Scores (0-1)'!AG24=0.5,"Partial","No"))</f>
        <v>Yes</v>
      </c>
      <c r="AH24" s="22" t="str">
        <f>IF('Raw Scores (0-1)'!AH24=1,"Yes",IF('Raw Scores (0-1)'!AH24=0.5,"Partial","No"))</f>
        <v>Yes</v>
      </c>
      <c r="AI24" s="22" t="str">
        <f>IF('Raw Scores (0-1)'!AI24=1,"Yes",IF('Raw Scores (0-1)'!AI24=0.5,"Partial","No"))</f>
        <v>Yes</v>
      </c>
      <c r="AJ24" s="22" t="str">
        <f>IF('Raw Scores (0-1)'!AJ24=1,"Yes",IF('Raw Scores (0-1)'!AJ24=0.5,"Partial","No"))</f>
        <v>Partial</v>
      </c>
      <c r="AK24" s="20">
        <f>'Scores &amp; Ranking'!F24</f>
        <v>50</v>
      </c>
      <c r="AL24" s="20">
        <f>'Scores &amp; Ranking'!G24</f>
        <v>17</v>
      </c>
      <c r="AM24" s="20">
        <f>'Scores &amp; Ranking'!H24</f>
        <v>10</v>
      </c>
      <c r="AN24" s="20">
        <f>'Scores &amp; Ranking'!I24</f>
        <v>10</v>
      </c>
      <c r="AO24" s="20">
        <f>'Scores &amp; Ranking'!J24</f>
        <v>8.5</v>
      </c>
      <c r="AP24" s="23">
        <f>'Scores &amp; Ranking'!K24</f>
        <v>95.5</v>
      </c>
    </row>
    <row r="25" ht="15.75" customHeight="1">
      <c r="A25" s="12">
        <v>24.0</v>
      </c>
      <c r="B25" s="6" t="s">
        <v>163</v>
      </c>
      <c r="C25" s="12" t="s">
        <v>154</v>
      </c>
      <c r="D25" s="12" t="s">
        <v>164</v>
      </c>
      <c r="E25" s="3" t="s">
        <v>165</v>
      </c>
      <c r="F25" s="22" t="str">
        <f>IF('Raw Scores (0-1)'!F25=1,"Yes",IF('Raw Scores (0-1)'!F25=0.5,"Partial","No"))</f>
        <v>Yes</v>
      </c>
      <c r="G25" s="22" t="str">
        <f>IF('Raw Scores (0-1)'!G25=1,"Yes",IF('Raw Scores (0-1)'!G25=0.5,"Partial","No"))</f>
        <v>Yes</v>
      </c>
      <c r="H25" s="22" t="str">
        <f>IF('Raw Scores (0-1)'!H25=1,"Yes",IF('Raw Scores (0-1)'!H25=0.5,"Partial","No"))</f>
        <v>Yes</v>
      </c>
      <c r="I25" s="22" t="str">
        <f>IF('Raw Scores (0-1)'!I25=1,"Yes",IF('Raw Scores (0-1)'!I25=0.5,"Partial","No"))</f>
        <v>Yes</v>
      </c>
      <c r="J25" s="22" t="str">
        <f>IF('Raw Scores (0-1)'!J25=1,"Yes",IF('Raw Scores (0-1)'!J25=0.5,"Partial","No"))</f>
        <v>Yes</v>
      </c>
      <c r="K25" s="22" t="str">
        <f>IF('Raw Scores (0-1)'!K25=1,"Yes",IF('Raw Scores (0-1)'!K25=0.5,"Partial","No"))</f>
        <v>Yes</v>
      </c>
      <c r="L25" s="22" t="str">
        <f>IF('Raw Scores (0-1)'!L25=1,"Yes",IF('Raw Scores (0-1)'!L25=0.5,"Partial","No"))</f>
        <v>No</v>
      </c>
      <c r="M25" s="22" t="str">
        <f>IF('Raw Scores (0-1)'!M25=1,"Yes",IF('Raw Scores (0-1)'!M25=0.5,"Partial","No"))</f>
        <v>Yes</v>
      </c>
      <c r="N25" s="22" t="str">
        <f>IF('Raw Scores (0-1)'!N25=1,"Yes",IF('Raw Scores (0-1)'!N25=0.5,"Partial","No"))</f>
        <v>Yes</v>
      </c>
      <c r="O25" s="22" t="str">
        <f>IF('Raw Scores (0-1)'!O25=1,"Yes",IF('Raw Scores (0-1)'!O25=0.5,"Partial","No"))</f>
        <v>Yes</v>
      </c>
      <c r="P25" s="22" t="str">
        <f>IF('Raw Scores (0-1)'!P25=1,"Yes",IF('Raw Scores (0-1)'!P25=0.5,"Partial","No"))</f>
        <v>Yes</v>
      </c>
      <c r="Q25" s="22" t="str">
        <f>IF('Raw Scores (0-1)'!Q25=1,"Yes",IF('Raw Scores (0-1)'!Q25=0.5,"Partial","No"))</f>
        <v>Yes</v>
      </c>
      <c r="R25" s="22" t="str">
        <f>IF('Raw Scores (0-1)'!R25=1,"Yes",IF('Raw Scores (0-1)'!R25=0.5,"Partial","No"))</f>
        <v>No</v>
      </c>
      <c r="S25" s="22" t="str">
        <f>IF('Raw Scores (0-1)'!S25=1,"Yes",IF('Raw Scores (0-1)'!S25=0.5,"Partial","No"))</f>
        <v>Yes</v>
      </c>
      <c r="T25" s="22" t="str">
        <f>IF('Raw Scores (0-1)'!T25=1,"Yes",IF('Raw Scores (0-1)'!T25=0.5,"Partial","No"))</f>
        <v>Yes</v>
      </c>
      <c r="U25" s="22" t="str">
        <f>IF('Raw Scores (0-1)'!U25=1,"Yes",IF('Raw Scores (0-1)'!U25=0.5,"Partial","No"))</f>
        <v>No</v>
      </c>
      <c r="V25" s="22" t="str">
        <f>IF('Raw Scores (0-1)'!V25=1,"Yes",IF('Raw Scores (0-1)'!V25=0.5,"Partial","No"))</f>
        <v>No</v>
      </c>
      <c r="W25" s="22" t="str">
        <f>IF('Raw Scores (0-1)'!W25=1,"Yes",IF('Raw Scores (0-1)'!W25=0.5,"Partial","No"))</f>
        <v>No</v>
      </c>
      <c r="X25" s="22" t="str">
        <f>IF('Raw Scores (0-1)'!X25=1,"Yes",IF('Raw Scores (0-1)'!X25=0.5,"Partial","No"))</f>
        <v>Yes</v>
      </c>
      <c r="Y25" s="22" t="str">
        <f>IF('Raw Scores (0-1)'!Y25=1,"Yes",IF('Raw Scores (0-1)'!Y25=0.5,"Partial","No"))</f>
        <v>Yes</v>
      </c>
      <c r="Z25" s="22" t="str">
        <f>IF('Raw Scores (0-1)'!Z25=1,"Yes",IF('Raw Scores (0-1)'!Z25=0.5,"Partial","No"))</f>
        <v>No</v>
      </c>
      <c r="AA25" s="22" t="str">
        <f>IF('Raw Scores (0-1)'!AA25=1,"Yes",IF('Raw Scores (0-1)'!AA25=0.5,"Partial","No"))</f>
        <v>No</v>
      </c>
      <c r="AB25" s="22" t="str">
        <f>IF('Raw Scores (0-1)'!AB25=1,"Yes",IF('Raw Scores (0-1)'!AB25=0.5,"Partial","No"))</f>
        <v>No</v>
      </c>
      <c r="AC25" s="22" t="str">
        <f>IF('Raw Scores (0-1)'!AC25=1,"Yes",IF('Raw Scores (0-1)'!AC25=0.5,"Partial","No"))</f>
        <v>Yes</v>
      </c>
      <c r="AD25" s="22" t="str">
        <f>IF('Raw Scores (0-1)'!AD25=1,"Yes",IF('Raw Scores (0-1)'!AD25=0.5,"Partial","No"))</f>
        <v>Yes</v>
      </c>
      <c r="AE25" s="22" t="str">
        <f>IF('Raw Scores (0-1)'!AE25=1,"Yes",IF('Raw Scores (0-1)'!AE25=0.5,"Partial","No"))</f>
        <v>Yes</v>
      </c>
      <c r="AF25" s="22" t="str">
        <f>IF('Raw Scores (0-1)'!AF25=1,"Yes",IF('Raw Scores (0-1)'!AF25=0.5,"Partial","No"))</f>
        <v>No</v>
      </c>
      <c r="AG25" s="22" t="str">
        <f>IF('Raw Scores (0-1)'!AG25=1,"Yes",IF('Raw Scores (0-1)'!AG25=0.5,"Partial","No"))</f>
        <v>Yes</v>
      </c>
      <c r="AH25" s="22" t="str">
        <f>IF('Raw Scores (0-1)'!AH25=1,"Yes",IF('Raw Scores (0-1)'!AH25=0.5,"Partial","No"))</f>
        <v>Yes</v>
      </c>
      <c r="AI25" s="22" t="str">
        <f>IF('Raw Scores (0-1)'!AI25=1,"Yes",IF('Raw Scores (0-1)'!AI25=0.5,"Partial","No"))</f>
        <v>Yes</v>
      </c>
      <c r="AJ25" s="22" t="str">
        <f>IF('Raw Scores (0-1)'!AJ25=1,"Yes",IF('Raw Scores (0-1)'!AJ25=0.5,"Partial","No"))</f>
        <v>Yes</v>
      </c>
      <c r="AK25" s="20">
        <f>'Scores &amp; Ranking'!F25</f>
        <v>45</v>
      </c>
      <c r="AL25" s="20">
        <f>'Scores &amp; Ranking'!G25</f>
        <v>12</v>
      </c>
      <c r="AM25" s="20">
        <f>'Scores &amp; Ranking'!H25</f>
        <v>4</v>
      </c>
      <c r="AN25" s="20">
        <f>'Scores &amp; Ranking'!I25</f>
        <v>8</v>
      </c>
      <c r="AO25" s="20">
        <f>'Scores &amp; Ranking'!J25</f>
        <v>10</v>
      </c>
      <c r="AP25" s="23">
        <f>'Scores &amp; Ranking'!K25</f>
        <v>79</v>
      </c>
    </row>
    <row r="26" ht="15.75" customHeight="1">
      <c r="A26" s="12">
        <v>25.0</v>
      </c>
      <c r="B26" s="6" t="s">
        <v>166</v>
      </c>
      <c r="C26" s="12" t="s">
        <v>154</v>
      </c>
      <c r="D26" s="12" t="s">
        <v>167</v>
      </c>
      <c r="E26" s="3" t="s">
        <v>168</v>
      </c>
      <c r="F26" s="22" t="str">
        <f>IF('Raw Scores (0-1)'!F26=1,"Yes",IF('Raw Scores (0-1)'!F26=0.5,"Partial","No"))</f>
        <v>Partial</v>
      </c>
      <c r="G26" s="22" t="str">
        <f>IF('Raw Scores (0-1)'!G26=1,"Yes",IF('Raw Scores (0-1)'!G26=0.5,"Partial","No"))</f>
        <v>Yes</v>
      </c>
      <c r="H26" s="22" t="str">
        <f>IF('Raw Scores (0-1)'!H26=1,"Yes",IF('Raw Scores (0-1)'!H26=0.5,"Partial","No"))</f>
        <v>Yes</v>
      </c>
      <c r="I26" s="22" t="str">
        <f>IF('Raw Scores (0-1)'!I26=1,"Yes",IF('Raw Scores (0-1)'!I26=0.5,"Partial","No"))</f>
        <v>Yes</v>
      </c>
      <c r="J26" s="22" t="str">
        <f>IF('Raw Scores (0-1)'!J26=1,"Yes",IF('Raw Scores (0-1)'!J26=0.5,"Partial","No"))</f>
        <v>Yes</v>
      </c>
      <c r="K26" s="22" t="str">
        <f>IF('Raw Scores (0-1)'!K26=1,"Yes",IF('Raw Scores (0-1)'!K26=0.5,"Partial","No"))</f>
        <v>Partial</v>
      </c>
      <c r="L26" s="22" t="str">
        <f>IF('Raw Scores (0-1)'!L26=1,"Yes",IF('Raw Scores (0-1)'!L26=0.5,"Partial","No"))</f>
        <v>Yes</v>
      </c>
      <c r="M26" s="22" t="str">
        <f>IF('Raw Scores (0-1)'!M26=1,"Yes",IF('Raw Scores (0-1)'!M26=0.5,"Partial","No"))</f>
        <v>Partial</v>
      </c>
      <c r="N26" s="22" t="str">
        <f>IF('Raw Scores (0-1)'!N26=1,"Yes",IF('Raw Scores (0-1)'!N26=0.5,"Partial","No"))</f>
        <v>Yes</v>
      </c>
      <c r="O26" s="22" t="str">
        <f>IF('Raw Scores (0-1)'!O26=1,"Yes",IF('Raw Scores (0-1)'!O26=0.5,"Partial","No"))</f>
        <v>Yes</v>
      </c>
      <c r="P26" s="22" t="str">
        <f>IF('Raw Scores (0-1)'!P26=1,"Yes",IF('Raw Scores (0-1)'!P26=0.5,"Partial","No"))</f>
        <v>Yes</v>
      </c>
      <c r="Q26" s="22" t="str">
        <f>IF('Raw Scores (0-1)'!Q26=1,"Yes",IF('Raw Scores (0-1)'!Q26=0.5,"Partial","No"))</f>
        <v>Yes</v>
      </c>
      <c r="R26" s="22" t="str">
        <f>IF('Raw Scores (0-1)'!R26=1,"Yes",IF('Raw Scores (0-1)'!R26=0.5,"Partial","No"))</f>
        <v>Yes</v>
      </c>
      <c r="S26" s="22" t="str">
        <f>IF('Raw Scores (0-1)'!S26=1,"Yes",IF('Raw Scores (0-1)'!S26=0.5,"Partial","No"))</f>
        <v>Yes</v>
      </c>
      <c r="T26" s="22" t="str">
        <f>IF('Raw Scores (0-1)'!T26=1,"Yes",IF('Raw Scores (0-1)'!T26=0.5,"Partial","No"))</f>
        <v>Yes</v>
      </c>
      <c r="U26" s="22" t="str">
        <f>IF('Raw Scores (0-1)'!U26=1,"Yes",IF('Raw Scores (0-1)'!U26=0.5,"Partial","No"))</f>
        <v>Yes</v>
      </c>
      <c r="V26" s="22" t="str">
        <f>IF('Raw Scores (0-1)'!V26=1,"Yes",IF('Raw Scores (0-1)'!V26=0.5,"Partial","No"))</f>
        <v>Yes</v>
      </c>
      <c r="W26" s="22" t="str">
        <f>IF('Raw Scores (0-1)'!W26=1,"Yes",IF('Raw Scores (0-1)'!W26=0.5,"Partial","No"))</f>
        <v>Yes</v>
      </c>
      <c r="X26" s="22" t="str">
        <f>IF('Raw Scores (0-1)'!X26=1,"Yes",IF('Raw Scores (0-1)'!X26=0.5,"Partial","No"))</f>
        <v>Yes</v>
      </c>
      <c r="Y26" s="22" t="str">
        <f>IF('Raw Scores (0-1)'!Y26=1,"Yes",IF('Raw Scores (0-1)'!Y26=0.5,"Partial","No"))</f>
        <v>Yes</v>
      </c>
      <c r="Z26" s="22" t="str">
        <f>IF('Raw Scores (0-1)'!Z26=1,"Yes",IF('Raw Scores (0-1)'!Z26=0.5,"Partial","No"))</f>
        <v>Yes</v>
      </c>
      <c r="AA26" s="22" t="str">
        <f>IF('Raw Scores (0-1)'!AA26=1,"Yes",IF('Raw Scores (0-1)'!AA26=0.5,"Partial","No"))</f>
        <v>Yes</v>
      </c>
      <c r="AB26" s="22" t="str">
        <f>IF('Raw Scores (0-1)'!AB26=1,"Yes",IF('Raw Scores (0-1)'!AB26=0.5,"Partial","No"))</f>
        <v>Yes</v>
      </c>
      <c r="AC26" s="22" t="str">
        <f>IF('Raw Scores (0-1)'!AC26=1,"Yes",IF('Raw Scores (0-1)'!AC26=0.5,"Partial","No"))</f>
        <v>Yes</v>
      </c>
      <c r="AD26" s="22" t="str">
        <f>IF('Raw Scores (0-1)'!AD26=1,"Yes",IF('Raw Scores (0-1)'!AD26=0.5,"Partial","No"))</f>
        <v>Yes</v>
      </c>
      <c r="AE26" s="22" t="str">
        <f>IF('Raw Scores (0-1)'!AE26=1,"Yes",IF('Raw Scores (0-1)'!AE26=0.5,"Partial","No"))</f>
        <v>Yes</v>
      </c>
      <c r="AF26" s="22" t="str">
        <f>IF('Raw Scores (0-1)'!AF26=1,"Yes",IF('Raw Scores (0-1)'!AF26=0.5,"Partial","No"))</f>
        <v>Yes</v>
      </c>
      <c r="AG26" s="22" t="str">
        <f>IF('Raw Scores (0-1)'!AG26=1,"Yes",IF('Raw Scores (0-1)'!AG26=0.5,"Partial","No"))</f>
        <v>Yes</v>
      </c>
      <c r="AH26" s="22" t="str">
        <f>IF('Raw Scores (0-1)'!AH26=1,"Yes",IF('Raw Scores (0-1)'!AH26=0.5,"Partial","No"))</f>
        <v>Yes</v>
      </c>
      <c r="AI26" s="22" t="str">
        <f>IF('Raw Scores (0-1)'!AI26=1,"Yes",IF('Raw Scores (0-1)'!AI26=0.5,"Partial","No"))</f>
        <v>Yes</v>
      </c>
      <c r="AJ26" s="22" t="str">
        <f>IF('Raw Scores (0-1)'!AJ26=1,"Yes",IF('Raw Scores (0-1)'!AJ26=0.5,"Partial","No"))</f>
        <v>Yes</v>
      </c>
      <c r="AK26" s="20">
        <f>'Scores &amp; Ranking'!F26</f>
        <v>37.5</v>
      </c>
      <c r="AL26" s="20">
        <f>'Scores &amp; Ranking'!G26</f>
        <v>20</v>
      </c>
      <c r="AM26" s="20">
        <f>'Scores &amp; Ranking'!H26</f>
        <v>10</v>
      </c>
      <c r="AN26" s="20">
        <f>'Scores &amp; Ranking'!I26</f>
        <v>10</v>
      </c>
      <c r="AO26" s="20">
        <f>'Scores &amp; Ranking'!J26</f>
        <v>10</v>
      </c>
      <c r="AP26" s="23">
        <f>'Scores &amp; Ranking'!K26</f>
        <v>87.5</v>
      </c>
    </row>
    <row r="27" ht="15.75" customHeight="1">
      <c r="A27" s="12">
        <v>26.0</v>
      </c>
      <c r="B27" s="6" t="s">
        <v>169</v>
      </c>
      <c r="C27" s="12" t="s">
        <v>170</v>
      </c>
      <c r="D27" s="12" t="s">
        <v>171</v>
      </c>
      <c r="E27" s="3" t="s">
        <v>172</v>
      </c>
      <c r="F27" s="22" t="str">
        <f>IF('Raw Scores (0-1)'!F27=1,"Yes",IF('Raw Scores (0-1)'!F27=0.5,"Partial","No"))</f>
        <v>No</v>
      </c>
      <c r="G27" s="22" t="str">
        <f>IF('Raw Scores (0-1)'!G27=1,"Yes",IF('Raw Scores (0-1)'!G27=0.5,"Partial","No"))</f>
        <v>No</v>
      </c>
      <c r="H27" s="22" t="str">
        <f>IF('Raw Scores (0-1)'!H27=1,"Yes",IF('Raw Scores (0-1)'!H27=0.5,"Partial","No"))</f>
        <v>No</v>
      </c>
      <c r="I27" s="22" t="str">
        <f>IF('Raw Scores (0-1)'!I27=1,"Yes",IF('Raw Scores (0-1)'!I27=0.5,"Partial","No"))</f>
        <v>No</v>
      </c>
      <c r="J27" s="22" t="str">
        <f>IF('Raw Scores (0-1)'!J27=1,"Yes",IF('Raw Scores (0-1)'!J27=0.5,"Partial","No"))</f>
        <v>No</v>
      </c>
      <c r="K27" s="22" t="str">
        <f>IF('Raw Scores (0-1)'!K27=1,"Yes",IF('Raw Scores (0-1)'!K27=0.5,"Partial","No"))</f>
        <v>No</v>
      </c>
      <c r="L27" s="22" t="str">
        <f>IF('Raw Scores (0-1)'!L27=1,"Yes",IF('Raw Scores (0-1)'!L27=0.5,"Partial","No"))</f>
        <v>No</v>
      </c>
      <c r="M27" s="22" t="str">
        <f>IF('Raw Scores (0-1)'!M27=1,"Yes",IF('Raw Scores (0-1)'!M27=0.5,"Partial","No"))</f>
        <v>No</v>
      </c>
      <c r="N27" s="22" t="str">
        <f>IF('Raw Scores (0-1)'!N27=1,"Yes",IF('Raw Scores (0-1)'!N27=0.5,"Partial","No"))</f>
        <v>Yes</v>
      </c>
      <c r="O27" s="22" t="str">
        <f>IF('Raw Scores (0-1)'!O27=1,"Yes",IF('Raw Scores (0-1)'!O27=0.5,"Partial","No"))</f>
        <v>Yes</v>
      </c>
      <c r="P27" s="22" t="str">
        <f>IF('Raw Scores (0-1)'!P27=1,"Yes",IF('Raw Scores (0-1)'!P27=0.5,"Partial","No"))</f>
        <v>Yes</v>
      </c>
      <c r="Q27" s="22" t="str">
        <f>IF('Raw Scores (0-1)'!Q27=1,"Yes",IF('Raw Scores (0-1)'!Q27=0.5,"Partial","No"))</f>
        <v>Yes</v>
      </c>
      <c r="R27" s="22" t="str">
        <f>IF('Raw Scores (0-1)'!R27=1,"Yes",IF('Raw Scores (0-1)'!R27=0.5,"Partial","No"))</f>
        <v>Yes</v>
      </c>
      <c r="S27" s="22" t="str">
        <f>IF('Raw Scores (0-1)'!S27=1,"Yes",IF('Raw Scores (0-1)'!S27=0.5,"Partial","No"))</f>
        <v>Partial</v>
      </c>
      <c r="T27" s="22" t="str">
        <f>IF('Raw Scores (0-1)'!T27=1,"Yes",IF('Raw Scores (0-1)'!T27=0.5,"Partial","No"))</f>
        <v>Partial</v>
      </c>
      <c r="U27" s="22" t="str">
        <f>IF('Raw Scores (0-1)'!U27=1,"Yes",IF('Raw Scores (0-1)'!U27=0.5,"Partial","No"))</f>
        <v>Yes</v>
      </c>
      <c r="V27" s="22" t="str">
        <f>IF('Raw Scores (0-1)'!V27=1,"Yes",IF('Raw Scores (0-1)'!V27=0.5,"Partial","No"))</f>
        <v>Yes</v>
      </c>
      <c r="W27" s="22" t="str">
        <f>IF('Raw Scores (0-1)'!W27=1,"Yes",IF('Raw Scores (0-1)'!W27=0.5,"Partial","No"))</f>
        <v>Partial</v>
      </c>
      <c r="X27" s="22" t="str">
        <f>IF('Raw Scores (0-1)'!X27=1,"Yes",IF('Raw Scores (0-1)'!X27=0.5,"Partial","No"))</f>
        <v>Yes</v>
      </c>
      <c r="Y27" s="22" t="str">
        <f>IF('Raw Scores (0-1)'!Y27=1,"Yes",IF('Raw Scores (0-1)'!Y27=0.5,"Partial","No"))</f>
        <v>Yes</v>
      </c>
      <c r="Z27" s="22" t="str">
        <f>IF('Raw Scores (0-1)'!Z27=1,"Yes",IF('Raw Scores (0-1)'!Z27=0.5,"Partial","No"))</f>
        <v>Yes</v>
      </c>
      <c r="AA27" s="22" t="str">
        <f>IF('Raw Scores (0-1)'!AA27=1,"Yes",IF('Raw Scores (0-1)'!AA27=0.5,"Partial","No"))</f>
        <v>Yes</v>
      </c>
      <c r="AB27" s="22" t="str">
        <f>IF('Raw Scores (0-1)'!AB27=1,"Yes",IF('Raw Scores (0-1)'!AB27=0.5,"Partial","No"))</f>
        <v>No</v>
      </c>
      <c r="AC27" s="22" t="str">
        <f>IF('Raw Scores (0-1)'!AC27=1,"Yes",IF('Raw Scores (0-1)'!AC27=0.5,"Partial","No"))</f>
        <v>Yes</v>
      </c>
      <c r="AD27" s="22" t="str">
        <f>IF('Raw Scores (0-1)'!AD27=1,"Yes",IF('Raw Scores (0-1)'!AD27=0.5,"Partial","No"))</f>
        <v>Yes</v>
      </c>
      <c r="AE27" s="22" t="str">
        <f>IF('Raw Scores (0-1)'!AE27=1,"Yes",IF('Raw Scores (0-1)'!AE27=0.5,"Partial","No"))</f>
        <v>Yes</v>
      </c>
      <c r="AF27" s="22" t="str">
        <f>IF('Raw Scores (0-1)'!AF27=1,"Yes",IF('Raw Scores (0-1)'!AF27=0.5,"Partial","No"))</f>
        <v>Yes</v>
      </c>
      <c r="AG27" s="22" t="str">
        <f>IF('Raw Scores (0-1)'!AG27=1,"Yes",IF('Raw Scores (0-1)'!AG27=0.5,"Partial","No"))</f>
        <v>No</v>
      </c>
      <c r="AH27" s="22" t="str">
        <f>IF('Raw Scores (0-1)'!AH27=1,"Yes",IF('Raw Scores (0-1)'!AH27=0.5,"Partial","No"))</f>
        <v>No</v>
      </c>
      <c r="AI27" s="22" t="str">
        <f>IF('Raw Scores (0-1)'!AI27=1,"Yes",IF('Raw Scores (0-1)'!AI27=0.5,"Partial","No"))</f>
        <v>Partial</v>
      </c>
      <c r="AJ27" s="22" t="str">
        <f>IF('Raw Scores (0-1)'!AJ27=1,"Yes",IF('Raw Scores (0-1)'!AJ27=0.5,"Partial","No"))</f>
        <v>No</v>
      </c>
      <c r="AK27" s="20">
        <f>'Scores &amp; Ranking'!F27</f>
        <v>0</v>
      </c>
      <c r="AL27" s="20">
        <f>'Scores &amp; Ranking'!G27</f>
        <v>17</v>
      </c>
      <c r="AM27" s="20">
        <f>'Scores &amp; Ranking'!H27</f>
        <v>8</v>
      </c>
      <c r="AN27" s="20">
        <f>'Scores &amp; Ranking'!I27</f>
        <v>7</v>
      </c>
      <c r="AO27" s="20">
        <f>'Scores &amp; Ranking'!J27</f>
        <v>2</v>
      </c>
      <c r="AP27" s="23">
        <f>'Scores &amp; Ranking'!K27</f>
        <v>34</v>
      </c>
    </row>
    <row r="28" ht="15.75" customHeight="1">
      <c r="A28" s="12">
        <v>27.0</v>
      </c>
      <c r="B28" s="6" t="s">
        <v>173</v>
      </c>
      <c r="C28" s="12" t="s">
        <v>170</v>
      </c>
      <c r="D28" s="12" t="s">
        <v>174</v>
      </c>
      <c r="E28" s="3" t="s">
        <v>175</v>
      </c>
      <c r="F28" s="22" t="str">
        <f>IF('Raw Scores (0-1)'!F28=1,"Yes",IF('Raw Scores (0-1)'!F28=0.5,"Partial","No"))</f>
        <v>Partial</v>
      </c>
      <c r="G28" s="22" t="str">
        <f>IF('Raw Scores (0-1)'!G28=1,"Yes",IF('Raw Scores (0-1)'!G28=0.5,"Partial","No"))</f>
        <v>No</v>
      </c>
      <c r="H28" s="22" t="str">
        <f>IF('Raw Scores (0-1)'!H28=1,"Yes",IF('Raw Scores (0-1)'!H28=0.5,"Partial","No"))</f>
        <v>No</v>
      </c>
      <c r="I28" s="22" t="str">
        <f>IF('Raw Scores (0-1)'!I28=1,"Yes",IF('Raw Scores (0-1)'!I28=0.5,"Partial","No"))</f>
        <v>Partial</v>
      </c>
      <c r="J28" s="22" t="str">
        <f>IF('Raw Scores (0-1)'!J28=1,"Yes",IF('Raw Scores (0-1)'!J28=0.5,"Partial","No"))</f>
        <v>Partial</v>
      </c>
      <c r="K28" s="22" t="str">
        <f>IF('Raw Scores (0-1)'!K28=1,"Yes",IF('Raw Scores (0-1)'!K28=0.5,"Partial","No"))</f>
        <v>No</v>
      </c>
      <c r="L28" s="22" t="str">
        <f>IF('Raw Scores (0-1)'!L28=1,"Yes",IF('Raw Scores (0-1)'!L28=0.5,"Partial","No"))</f>
        <v>No</v>
      </c>
      <c r="M28" s="22" t="str">
        <f>IF('Raw Scores (0-1)'!M28=1,"Yes",IF('Raw Scores (0-1)'!M28=0.5,"Partial","No"))</f>
        <v>Partial</v>
      </c>
      <c r="N28" s="22" t="str">
        <f>IF('Raw Scores (0-1)'!N28=1,"Yes",IF('Raw Scores (0-1)'!N28=0.5,"Partial","No"))</f>
        <v>Yes</v>
      </c>
      <c r="O28" s="22" t="str">
        <f>IF('Raw Scores (0-1)'!O28=1,"Yes",IF('Raw Scores (0-1)'!O28=0.5,"Partial","No"))</f>
        <v>Yes</v>
      </c>
      <c r="P28" s="22" t="str">
        <f>IF('Raw Scores (0-1)'!P28=1,"Yes",IF('Raw Scores (0-1)'!P28=0.5,"Partial","No"))</f>
        <v>Yes</v>
      </c>
      <c r="Q28" s="22" t="str">
        <f>IF('Raw Scores (0-1)'!Q28=1,"Yes",IF('Raw Scores (0-1)'!Q28=0.5,"Partial","No"))</f>
        <v>Yes</v>
      </c>
      <c r="R28" s="22" t="str">
        <f>IF('Raw Scores (0-1)'!R28=1,"Yes",IF('Raw Scores (0-1)'!R28=0.5,"Partial","No"))</f>
        <v>Yes</v>
      </c>
      <c r="S28" s="22" t="str">
        <f>IF('Raw Scores (0-1)'!S28=1,"Yes",IF('Raw Scores (0-1)'!S28=0.5,"Partial","No"))</f>
        <v>Yes</v>
      </c>
      <c r="T28" s="22" t="str">
        <f>IF('Raw Scores (0-1)'!T28=1,"Yes",IF('Raw Scores (0-1)'!T28=0.5,"Partial","No"))</f>
        <v>Yes</v>
      </c>
      <c r="U28" s="22" t="str">
        <f>IF('Raw Scores (0-1)'!U28=1,"Yes",IF('Raw Scores (0-1)'!U28=0.5,"Partial","No"))</f>
        <v>Yes</v>
      </c>
      <c r="V28" s="22" t="str">
        <f>IF('Raw Scores (0-1)'!V28=1,"Yes",IF('Raw Scores (0-1)'!V28=0.5,"Partial","No"))</f>
        <v>Yes</v>
      </c>
      <c r="W28" s="22" t="str">
        <f>IF('Raw Scores (0-1)'!W28=1,"Yes",IF('Raw Scores (0-1)'!W28=0.5,"Partial","No"))</f>
        <v>Yes</v>
      </c>
      <c r="X28" s="22" t="str">
        <f>IF('Raw Scores (0-1)'!X28=1,"Yes",IF('Raw Scores (0-1)'!X28=0.5,"Partial","No"))</f>
        <v>Yes</v>
      </c>
      <c r="Y28" s="22" t="str">
        <f>IF('Raw Scores (0-1)'!Y28=1,"Yes",IF('Raw Scores (0-1)'!Y28=0.5,"Partial","No"))</f>
        <v>Yes</v>
      </c>
      <c r="Z28" s="22" t="str">
        <f>IF('Raw Scores (0-1)'!Z28=1,"Yes",IF('Raw Scores (0-1)'!Z28=0.5,"Partial","No"))</f>
        <v>Yes</v>
      </c>
      <c r="AA28" s="22" t="str">
        <f>IF('Raw Scores (0-1)'!AA28=1,"Yes",IF('Raw Scores (0-1)'!AA28=0.5,"Partial","No"))</f>
        <v>Yes</v>
      </c>
      <c r="AB28" s="22" t="str">
        <f>IF('Raw Scores (0-1)'!AB28=1,"Yes",IF('Raw Scores (0-1)'!AB28=0.5,"Partial","No"))</f>
        <v>Yes</v>
      </c>
      <c r="AC28" s="22" t="str">
        <f>IF('Raw Scores (0-1)'!AC28=1,"Yes",IF('Raw Scores (0-1)'!AC28=0.5,"Partial","No"))</f>
        <v>Yes</v>
      </c>
      <c r="AD28" s="22" t="str">
        <f>IF('Raw Scores (0-1)'!AD28=1,"Yes",IF('Raw Scores (0-1)'!AD28=0.5,"Partial","No"))</f>
        <v>Yes</v>
      </c>
      <c r="AE28" s="22" t="str">
        <f>IF('Raw Scores (0-1)'!AE28=1,"Yes",IF('Raw Scores (0-1)'!AE28=0.5,"Partial","No"))</f>
        <v>Yes</v>
      </c>
      <c r="AF28" s="22" t="str">
        <f>IF('Raw Scores (0-1)'!AF28=1,"Yes",IF('Raw Scores (0-1)'!AF28=0.5,"Partial","No"))</f>
        <v>No</v>
      </c>
      <c r="AG28" s="22" t="str">
        <f>IF('Raw Scores (0-1)'!AG28=1,"Yes",IF('Raw Scores (0-1)'!AG28=0.5,"Partial","No"))</f>
        <v>Partial</v>
      </c>
      <c r="AH28" s="22" t="str">
        <f>IF('Raw Scores (0-1)'!AH28=1,"Yes",IF('Raw Scores (0-1)'!AH28=0.5,"Partial","No"))</f>
        <v>No</v>
      </c>
      <c r="AI28" s="22" t="str">
        <f>IF('Raw Scores (0-1)'!AI28=1,"Yes",IF('Raw Scores (0-1)'!AI28=0.5,"Partial","No"))</f>
        <v>Partial</v>
      </c>
      <c r="AJ28" s="22" t="str">
        <f>IF('Raw Scores (0-1)'!AJ28=1,"Yes",IF('Raw Scores (0-1)'!AJ28=0.5,"Partial","No"))</f>
        <v>No</v>
      </c>
      <c r="AK28" s="20">
        <f>'Scores &amp; Ranking'!F28</f>
        <v>15</v>
      </c>
      <c r="AL28" s="20">
        <f>'Scores &amp; Ranking'!G28</f>
        <v>20</v>
      </c>
      <c r="AM28" s="20">
        <f>'Scores &amp; Ranking'!H28</f>
        <v>10</v>
      </c>
      <c r="AN28" s="20">
        <f>'Scores &amp; Ranking'!I28</f>
        <v>6.5</v>
      </c>
      <c r="AO28" s="20">
        <f>'Scores &amp; Ranking'!J28</f>
        <v>2</v>
      </c>
      <c r="AP28" s="23">
        <f>'Scores &amp; Ranking'!K28</f>
        <v>53.5</v>
      </c>
    </row>
    <row r="29" ht="15.75" customHeight="1">
      <c r="A29" s="12">
        <v>28.0</v>
      </c>
      <c r="B29" s="6" t="s">
        <v>176</v>
      </c>
      <c r="C29" s="12" t="s">
        <v>170</v>
      </c>
      <c r="D29" s="12" t="s">
        <v>177</v>
      </c>
      <c r="E29" s="3" t="s">
        <v>178</v>
      </c>
      <c r="F29" s="22" t="str">
        <f>IF('Raw Scores (0-1)'!F29=1,"Yes",IF('Raw Scores (0-1)'!F29=0.5,"Partial","No"))</f>
        <v>Partial</v>
      </c>
      <c r="G29" s="22" t="str">
        <f>IF('Raw Scores (0-1)'!G29=1,"Yes",IF('Raw Scores (0-1)'!G29=0.5,"Partial","No"))</f>
        <v>No</v>
      </c>
      <c r="H29" s="22" t="str">
        <f>IF('Raw Scores (0-1)'!H29=1,"Yes",IF('Raw Scores (0-1)'!H29=0.5,"Partial","No"))</f>
        <v>No</v>
      </c>
      <c r="I29" s="22" t="str">
        <f>IF('Raw Scores (0-1)'!I29=1,"Yes",IF('Raw Scores (0-1)'!I29=0.5,"Partial","No"))</f>
        <v>No</v>
      </c>
      <c r="J29" s="22" t="str">
        <f>IF('Raw Scores (0-1)'!J29=1,"Yes",IF('Raw Scores (0-1)'!J29=0.5,"Partial","No"))</f>
        <v>No</v>
      </c>
      <c r="K29" s="22" t="str">
        <f>IF('Raw Scores (0-1)'!K29=1,"Yes",IF('Raw Scores (0-1)'!K29=0.5,"Partial","No"))</f>
        <v>No</v>
      </c>
      <c r="L29" s="22" t="str">
        <f>IF('Raw Scores (0-1)'!L29=1,"Yes",IF('Raw Scores (0-1)'!L29=0.5,"Partial","No"))</f>
        <v>No</v>
      </c>
      <c r="M29" s="22" t="str">
        <f>IF('Raw Scores (0-1)'!M29=1,"Yes",IF('Raw Scores (0-1)'!M29=0.5,"Partial","No"))</f>
        <v>Yes</v>
      </c>
      <c r="N29" s="22" t="str">
        <f>IF('Raw Scores (0-1)'!N29=1,"Yes",IF('Raw Scores (0-1)'!N29=0.5,"Partial","No"))</f>
        <v>Yes</v>
      </c>
      <c r="O29" s="22" t="str">
        <f>IF('Raw Scores (0-1)'!O29=1,"Yes",IF('Raw Scores (0-1)'!O29=0.5,"Partial","No"))</f>
        <v>Yes</v>
      </c>
      <c r="P29" s="22" t="str">
        <f>IF('Raw Scores (0-1)'!P29=1,"Yes",IF('Raw Scores (0-1)'!P29=0.5,"Partial","No"))</f>
        <v>Yes</v>
      </c>
      <c r="Q29" s="22" t="str">
        <f>IF('Raw Scores (0-1)'!Q29=1,"Yes",IF('Raw Scores (0-1)'!Q29=0.5,"Partial","No"))</f>
        <v>Yes</v>
      </c>
      <c r="R29" s="22" t="str">
        <f>IF('Raw Scores (0-1)'!R29=1,"Yes",IF('Raw Scores (0-1)'!R29=0.5,"Partial","No"))</f>
        <v>Yes</v>
      </c>
      <c r="S29" s="22" t="str">
        <f>IF('Raw Scores (0-1)'!S29=1,"Yes",IF('Raw Scores (0-1)'!S29=0.5,"Partial","No"))</f>
        <v>Yes</v>
      </c>
      <c r="T29" s="22" t="str">
        <f>IF('Raw Scores (0-1)'!T29=1,"Yes",IF('Raw Scores (0-1)'!T29=0.5,"Partial","No"))</f>
        <v>Yes</v>
      </c>
      <c r="U29" s="22" t="str">
        <f>IF('Raw Scores (0-1)'!U29=1,"Yes",IF('Raw Scores (0-1)'!U29=0.5,"Partial","No"))</f>
        <v>Yes</v>
      </c>
      <c r="V29" s="22" t="str">
        <f>IF('Raw Scores (0-1)'!V29=1,"Yes",IF('Raw Scores (0-1)'!V29=0.5,"Partial","No"))</f>
        <v>Yes</v>
      </c>
      <c r="W29" s="22" t="str">
        <f>IF('Raw Scores (0-1)'!W29=1,"Yes",IF('Raw Scores (0-1)'!W29=0.5,"Partial","No"))</f>
        <v>Yes</v>
      </c>
      <c r="X29" s="22" t="str">
        <f>IF('Raw Scores (0-1)'!X29=1,"Yes",IF('Raw Scores (0-1)'!X29=0.5,"Partial","No"))</f>
        <v>Yes</v>
      </c>
      <c r="Y29" s="22" t="str">
        <f>IF('Raw Scores (0-1)'!Y29=1,"Yes",IF('Raw Scores (0-1)'!Y29=0.5,"Partial","No"))</f>
        <v>Yes</v>
      </c>
      <c r="Z29" s="22" t="str">
        <f>IF('Raw Scores (0-1)'!Z29=1,"Yes",IF('Raw Scores (0-1)'!Z29=0.5,"Partial","No"))</f>
        <v>Yes</v>
      </c>
      <c r="AA29" s="22" t="str">
        <f>IF('Raw Scores (0-1)'!AA29=1,"Yes",IF('Raw Scores (0-1)'!AA29=0.5,"Partial","No"))</f>
        <v>Yes</v>
      </c>
      <c r="AB29" s="22" t="str">
        <f>IF('Raw Scores (0-1)'!AB29=1,"Yes",IF('Raw Scores (0-1)'!AB29=0.5,"Partial","No"))</f>
        <v>Yes</v>
      </c>
      <c r="AC29" s="22" t="str">
        <f>IF('Raw Scores (0-1)'!AC29=1,"Yes",IF('Raw Scores (0-1)'!AC29=0.5,"Partial","No"))</f>
        <v>Yes</v>
      </c>
      <c r="AD29" s="22" t="str">
        <f>IF('Raw Scores (0-1)'!AD29=1,"Yes",IF('Raw Scores (0-1)'!AD29=0.5,"Partial","No"))</f>
        <v>Yes</v>
      </c>
      <c r="AE29" s="22" t="str">
        <f>IF('Raw Scores (0-1)'!AE29=1,"Yes",IF('Raw Scores (0-1)'!AE29=0.5,"Partial","No"))</f>
        <v>Yes</v>
      </c>
      <c r="AF29" s="22" t="str">
        <f>IF('Raw Scores (0-1)'!AF29=1,"Yes",IF('Raw Scores (0-1)'!AF29=0.5,"Partial","No"))</f>
        <v>Partial</v>
      </c>
      <c r="AG29" s="22" t="str">
        <f>IF('Raw Scores (0-1)'!AG29=1,"Yes",IF('Raw Scores (0-1)'!AG29=0.5,"Partial","No"))</f>
        <v>Partial</v>
      </c>
      <c r="AH29" s="22" t="str">
        <f>IF('Raw Scores (0-1)'!AH29=1,"Yes",IF('Raw Scores (0-1)'!AH29=0.5,"Partial","No"))</f>
        <v>No</v>
      </c>
      <c r="AI29" s="22" t="str">
        <f>IF('Raw Scores (0-1)'!AI29=1,"Yes",IF('Raw Scores (0-1)'!AI29=0.5,"Partial","No"))</f>
        <v>Partial</v>
      </c>
      <c r="AJ29" s="22" t="str">
        <f>IF('Raw Scores (0-1)'!AJ29=1,"Yes",IF('Raw Scores (0-1)'!AJ29=0.5,"Partial","No"))</f>
        <v>No</v>
      </c>
      <c r="AK29" s="20">
        <f>'Scores &amp; Ranking'!F29</f>
        <v>12.5</v>
      </c>
      <c r="AL29" s="20">
        <f>'Scores &amp; Ranking'!G29</f>
        <v>20</v>
      </c>
      <c r="AM29" s="20">
        <f>'Scores &amp; Ranking'!H29</f>
        <v>10</v>
      </c>
      <c r="AN29" s="20">
        <f>'Scores &amp; Ranking'!I29</f>
        <v>7.5</v>
      </c>
      <c r="AO29" s="20">
        <f>'Scores &amp; Ranking'!J29</f>
        <v>2</v>
      </c>
      <c r="AP29" s="23">
        <f>'Scores &amp; Ranking'!K29</f>
        <v>52</v>
      </c>
    </row>
    <row r="30" ht="15.75" customHeight="1">
      <c r="A30" s="12">
        <v>29.0</v>
      </c>
      <c r="B30" s="6" t="s">
        <v>179</v>
      </c>
      <c r="C30" s="12" t="s">
        <v>170</v>
      </c>
      <c r="D30" s="12" t="s">
        <v>180</v>
      </c>
      <c r="E30" s="3" t="s">
        <v>181</v>
      </c>
      <c r="F30" s="22" t="str">
        <f>IF('Raw Scores (0-1)'!F30=1,"Yes",IF('Raw Scores (0-1)'!F30=0.5,"Partial","No"))</f>
        <v>Partial</v>
      </c>
      <c r="G30" s="22" t="str">
        <f>IF('Raw Scores (0-1)'!G30=1,"Yes",IF('Raw Scores (0-1)'!G30=0.5,"Partial","No"))</f>
        <v>No</v>
      </c>
      <c r="H30" s="22" t="str">
        <f>IF('Raw Scores (0-1)'!H30=1,"Yes",IF('Raw Scores (0-1)'!H30=0.5,"Partial","No"))</f>
        <v>No</v>
      </c>
      <c r="I30" s="22" t="str">
        <f>IF('Raw Scores (0-1)'!I30=1,"Yes",IF('Raw Scores (0-1)'!I30=0.5,"Partial","No"))</f>
        <v>No</v>
      </c>
      <c r="J30" s="22" t="str">
        <f>IF('Raw Scores (0-1)'!J30=1,"Yes",IF('Raw Scores (0-1)'!J30=0.5,"Partial","No"))</f>
        <v>No</v>
      </c>
      <c r="K30" s="22" t="str">
        <f>IF('Raw Scores (0-1)'!K30=1,"Yes",IF('Raw Scores (0-1)'!K30=0.5,"Partial","No"))</f>
        <v>No</v>
      </c>
      <c r="L30" s="22" t="str">
        <f>IF('Raw Scores (0-1)'!L30=1,"Yes",IF('Raw Scores (0-1)'!L30=0.5,"Partial","No"))</f>
        <v>No</v>
      </c>
      <c r="M30" s="22" t="str">
        <f>IF('Raw Scores (0-1)'!M30=1,"Yes",IF('Raw Scores (0-1)'!M30=0.5,"Partial","No"))</f>
        <v>Yes</v>
      </c>
      <c r="N30" s="22" t="str">
        <f>IF('Raw Scores (0-1)'!N30=1,"Yes",IF('Raw Scores (0-1)'!N30=0.5,"Partial","No"))</f>
        <v>Yes</v>
      </c>
      <c r="O30" s="22" t="str">
        <f>IF('Raw Scores (0-1)'!O30=1,"Yes",IF('Raw Scores (0-1)'!O30=0.5,"Partial","No"))</f>
        <v>Yes</v>
      </c>
      <c r="P30" s="22" t="str">
        <f>IF('Raw Scores (0-1)'!P30=1,"Yes",IF('Raw Scores (0-1)'!P30=0.5,"Partial","No"))</f>
        <v>Yes</v>
      </c>
      <c r="Q30" s="22" t="str">
        <f>IF('Raw Scores (0-1)'!Q30=1,"Yes",IF('Raw Scores (0-1)'!Q30=0.5,"Partial","No"))</f>
        <v>Yes</v>
      </c>
      <c r="R30" s="22" t="str">
        <f>IF('Raw Scores (0-1)'!R30=1,"Yes",IF('Raw Scores (0-1)'!R30=0.5,"Partial","No"))</f>
        <v>Yes</v>
      </c>
      <c r="S30" s="22" t="str">
        <f>IF('Raw Scores (0-1)'!S30=1,"Yes",IF('Raw Scores (0-1)'!S30=0.5,"Partial","No"))</f>
        <v>Yes</v>
      </c>
      <c r="T30" s="22" t="str">
        <f>IF('Raw Scores (0-1)'!T30=1,"Yes",IF('Raw Scores (0-1)'!T30=0.5,"Partial","No"))</f>
        <v>Yes</v>
      </c>
      <c r="U30" s="22" t="str">
        <f>IF('Raw Scores (0-1)'!U30=1,"Yes",IF('Raw Scores (0-1)'!U30=0.5,"Partial","No"))</f>
        <v>Yes</v>
      </c>
      <c r="V30" s="22" t="str">
        <f>IF('Raw Scores (0-1)'!V30=1,"Yes",IF('Raw Scores (0-1)'!V30=0.5,"Partial","No"))</f>
        <v>Yes</v>
      </c>
      <c r="W30" s="22" t="str">
        <f>IF('Raw Scores (0-1)'!W30=1,"Yes",IF('Raw Scores (0-1)'!W30=0.5,"Partial","No"))</f>
        <v>Yes</v>
      </c>
      <c r="X30" s="22" t="str">
        <f>IF('Raw Scores (0-1)'!X30=1,"Yes",IF('Raw Scores (0-1)'!X30=0.5,"Partial","No"))</f>
        <v>Yes</v>
      </c>
      <c r="Y30" s="22" t="str">
        <f>IF('Raw Scores (0-1)'!Y30=1,"Yes",IF('Raw Scores (0-1)'!Y30=0.5,"Partial","No"))</f>
        <v>Yes</v>
      </c>
      <c r="Z30" s="22" t="str">
        <f>IF('Raw Scores (0-1)'!Z30=1,"Yes",IF('Raw Scores (0-1)'!Z30=0.5,"Partial","No"))</f>
        <v>Yes</v>
      </c>
      <c r="AA30" s="22" t="str">
        <f>IF('Raw Scores (0-1)'!AA30=1,"Yes",IF('Raw Scores (0-1)'!AA30=0.5,"Partial","No"))</f>
        <v>Yes</v>
      </c>
      <c r="AB30" s="22" t="str">
        <f>IF('Raw Scores (0-1)'!AB30=1,"Yes",IF('Raw Scores (0-1)'!AB30=0.5,"Partial","No"))</f>
        <v>No</v>
      </c>
      <c r="AC30" s="22" t="str">
        <f>IF('Raw Scores (0-1)'!AC30=1,"Yes",IF('Raw Scores (0-1)'!AC30=0.5,"Partial","No"))</f>
        <v>Yes</v>
      </c>
      <c r="AD30" s="22" t="str">
        <f>IF('Raw Scores (0-1)'!AD30=1,"Yes",IF('Raw Scores (0-1)'!AD30=0.5,"Partial","No"))</f>
        <v>Yes</v>
      </c>
      <c r="AE30" s="22" t="str">
        <f>IF('Raw Scores (0-1)'!AE30=1,"Yes",IF('Raw Scores (0-1)'!AE30=0.5,"Partial","No"))</f>
        <v>Yes</v>
      </c>
      <c r="AF30" s="22" t="str">
        <f>IF('Raw Scores (0-1)'!AF30=1,"Yes",IF('Raw Scores (0-1)'!AF30=0.5,"Partial","No"))</f>
        <v>Yes</v>
      </c>
      <c r="AG30" s="22" t="str">
        <f>IF('Raw Scores (0-1)'!AG30=1,"Yes",IF('Raw Scores (0-1)'!AG30=0.5,"Partial","No"))</f>
        <v>No</v>
      </c>
      <c r="AH30" s="22" t="str">
        <f>IF('Raw Scores (0-1)'!AH30=1,"Yes",IF('Raw Scores (0-1)'!AH30=0.5,"Partial","No"))</f>
        <v>No</v>
      </c>
      <c r="AI30" s="22" t="str">
        <f>IF('Raw Scores (0-1)'!AI30=1,"Yes",IF('Raw Scores (0-1)'!AI30=0.5,"Partial","No"))</f>
        <v>No</v>
      </c>
      <c r="AJ30" s="22" t="str">
        <f>IF('Raw Scores (0-1)'!AJ30=1,"Yes",IF('Raw Scores (0-1)'!AJ30=0.5,"Partial","No"))</f>
        <v>No</v>
      </c>
      <c r="AK30" s="20">
        <f>'Scores &amp; Ranking'!F30</f>
        <v>12.5</v>
      </c>
      <c r="AL30" s="20">
        <f>'Scores &amp; Ranking'!G30</f>
        <v>20</v>
      </c>
      <c r="AM30" s="20">
        <f>'Scores &amp; Ranking'!H30</f>
        <v>8</v>
      </c>
      <c r="AN30" s="20">
        <f>'Scores &amp; Ranking'!I30</f>
        <v>7</v>
      </c>
      <c r="AO30" s="20">
        <f>'Scores &amp; Ranking'!J30</f>
        <v>0</v>
      </c>
      <c r="AP30" s="23">
        <f>'Scores &amp; Ranking'!K30</f>
        <v>47.5</v>
      </c>
    </row>
    <row r="31" ht="15.75" customHeight="1">
      <c r="A31" s="12">
        <v>30.0</v>
      </c>
      <c r="B31" s="6" t="s">
        <v>182</v>
      </c>
      <c r="C31" s="12" t="s">
        <v>170</v>
      </c>
      <c r="D31" s="12" t="s">
        <v>183</v>
      </c>
      <c r="E31" s="3" t="s">
        <v>184</v>
      </c>
      <c r="F31" s="22" t="str">
        <f>IF('Raw Scores (0-1)'!F31=1,"Yes",IF('Raw Scores (0-1)'!F31=0.5,"Partial","No"))</f>
        <v>Partial</v>
      </c>
      <c r="G31" s="22" t="str">
        <f>IF('Raw Scores (0-1)'!G31=1,"Yes",IF('Raw Scores (0-1)'!G31=0.5,"Partial","No"))</f>
        <v>No</v>
      </c>
      <c r="H31" s="22" t="str">
        <f>IF('Raw Scores (0-1)'!H31=1,"Yes",IF('Raw Scores (0-1)'!H31=0.5,"Partial","No"))</f>
        <v>No</v>
      </c>
      <c r="I31" s="22" t="str">
        <f>IF('Raw Scores (0-1)'!I31=1,"Yes",IF('Raw Scores (0-1)'!I31=0.5,"Partial","No"))</f>
        <v>No</v>
      </c>
      <c r="J31" s="22" t="str">
        <f>IF('Raw Scores (0-1)'!J31=1,"Yes",IF('Raw Scores (0-1)'!J31=0.5,"Partial","No"))</f>
        <v>No</v>
      </c>
      <c r="K31" s="22" t="str">
        <f>IF('Raw Scores (0-1)'!K31=1,"Yes",IF('Raw Scores (0-1)'!K31=0.5,"Partial","No"))</f>
        <v>Partial</v>
      </c>
      <c r="L31" s="22" t="str">
        <f>IF('Raw Scores (0-1)'!L31=1,"Yes",IF('Raw Scores (0-1)'!L31=0.5,"Partial","No"))</f>
        <v>No</v>
      </c>
      <c r="M31" s="22" t="str">
        <f>IF('Raw Scores (0-1)'!M31=1,"Yes",IF('Raw Scores (0-1)'!M31=0.5,"Partial","No"))</f>
        <v>Yes</v>
      </c>
      <c r="N31" s="22" t="str">
        <f>IF('Raw Scores (0-1)'!N31=1,"Yes",IF('Raw Scores (0-1)'!N31=0.5,"Partial","No"))</f>
        <v>Yes</v>
      </c>
      <c r="O31" s="22" t="str">
        <f>IF('Raw Scores (0-1)'!O31=1,"Yes",IF('Raw Scores (0-1)'!O31=0.5,"Partial","No"))</f>
        <v>Yes</v>
      </c>
      <c r="P31" s="22" t="str">
        <f>IF('Raw Scores (0-1)'!P31=1,"Yes",IF('Raw Scores (0-1)'!P31=0.5,"Partial","No"))</f>
        <v>Yes</v>
      </c>
      <c r="Q31" s="22" t="str">
        <f>IF('Raw Scores (0-1)'!Q31=1,"Yes",IF('Raw Scores (0-1)'!Q31=0.5,"Partial","No"))</f>
        <v>Yes</v>
      </c>
      <c r="R31" s="22" t="str">
        <f>IF('Raw Scores (0-1)'!R31=1,"Yes",IF('Raw Scores (0-1)'!R31=0.5,"Partial","No"))</f>
        <v>Yes</v>
      </c>
      <c r="S31" s="22" t="str">
        <f>IF('Raw Scores (0-1)'!S31=1,"Yes",IF('Raw Scores (0-1)'!S31=0.5,"Partial","No"))</f>
        <v>Partial</v>
      </c>
      <c r="T31" s="22" t="str">
        <f>IF('Raw Scores (0-1)'!T31=1,"Yes",IF('Raw Scores (0-1)'!T31=0.5,"Partial","No"))</f>
        <v>Yes</v>
      </c>
      <c r="U31" s="22" t="str">
        <f>IF('Raw Scores (0-1)'!U31=1,"Yes",IF('Raw Scores (0-1)'!U31=0.5,"Partial","No"))</f>
        <v>Yes</v>
      </c>
      <c r="V31" s="22" t="str">
        <f>IF('Raw Scores (0-1)'!V31=1,"Yes",IF('Raw Scores (0-1)'!V31=0.5,"Partial","No"))</f>
        <v>Yes</v>
      </c>
      <c r="W31" s="22" t="str">
        <f>IF('Raw Scores (0-1)'!W31=1,"Yes",IF('Raw Scores (0-1)'!W31=0.5,"Partial","No"))</f>
        <v>Partial</v>
      </c>
      <c r="X31" s="22" t="str">
        <f>IF('Raw Scores (0-1)'!X31=1,"Yes",IF('Raw Scores (0-1)'!X31=0.5,"Partial","No"))</f>
        <v>Yes</v>
      </c>
      <c r="Y31" s="22" t="str">
        <f>IF('Raw Scores (0-1)'!Y31=1,"Yes",IF('Raw Scores (0-1)'!Y31=0.5,"Partial","No"))</f>
        <v>Yes</v>
      </c>
      <c r="Z31" s="22" t="str">
        <f>IF('Raw Scores (0-1)'!Z31=1,"Yes",IF('Raw Scores (0-1)'!Z31=0.5,"Partial","No"))</f>
        <v>Yes</v>
      </c>
      <c r="AA31" s="22" t="str">
        <f>IF('Raw Scores (0-1)'!AA31=1,"Yes",IF('Raw Scores (0-1)'!AA31=0.5,"Partial","No"))</f>
        <v>Yes</v>
      </c>
      <c r="AB31" s="22" t="str">
        <f>IF('Raw Scores (0-1)'!AB31=1,"Yes",IF('Raw Scores (0-1)'!AB31=0.5,"Partial","No"))</f>
        <v>No</v>
      </c>
      <c r="AC31" s="22" t="str">
        <f>IF('Raw Scores (0-1)'!AC31=1,"Yes",IF('Raw Scores (0-1)'!AC31=0.5,"Partial","No"))</f>
        <v>Yes</v>
      </c>
      <c r="AD31" s="22" t="str">
        <f>IF('Raw Scores (0-1)'!AD31=1,"Yes",IF('Raw Scores (0-1)'!AD31=0.5,"Partial","No"))</f>
        <v>Yes</v>
      </c>
      <c r="AE31" s="22" t="str">
        <f>IF('Raw Scores (0-1)'!AE31=1,"Yes",IF('Raw Scores (0-1)'!AE31=0.5,"Partial","No"))</f>
        <v>No</v>
      </c>
      <c r="AF31" s="22" t="str">
        <f>IF('Raw Scores (0-1)'!AF31=1,"Yes",IF('Raw Scores (0-1)'!AF31=0.5,"Partial","No"))</f>
        <v>No</v>
      </c>
      <c r="AG31" s="22" t="str">
        <f>IF('Raw Scores (0-1)'!AG31=1,"Yes",IF('Raw Scores (0-1)'!AG31=0.5,"Partial","No"))</f>
        <v>Partial</v>
      </c>
      <c r="AH31" s="22" t="str">
        <f>IF('Raw Scores (0-1)'!AH31=1,"Yes",IF('Raw Scores (0-1)'!AH31=0.5,"Partial","No"))</f>
        <v>No</v>
      </c>
      <c r="AI31" s="22" t="str">
        <f>IF('Raw Scores (0-1)'!AI31=1,"Yes",IF('Raw Scores (0-1)'!AI31=0.5,"Partial","No"))</f>
        <v>Partial</v>
      </c>
      <c r="AJ31" s="22" t="str">
        <f>IF('Raw Scores (0-1)'!AJ31=1,"Yes",IF('Raw Scores (0-1)'!AJ31=0.5,"Partial","No"))</f>
        <v>No</v>
      </c>
      <c r="AK31" s="20">
        <f>'Scores &amp; Ranking'!F31</f>
        <v>15</v>
      </c>
      <c r="AL31" s="20">
        <f>'Scores &amp; Ranking'!G31</f>
        <v>18</v>
      </c>
      <c r="AM31" s="20">
        <f>'Scores &amp; Ranking'!H31</f>
        <v>8</v>
      </c>
      <c r="AN31" s="20">
        <f>'Scores &amp; Ranking'!I31</f>
        <v>4.5</v>
      </c>
      <c r="AO31" s="20">
        <f>'Scores &amp; Ranking'!J31</f>
        <v>2</v>
      </c>
      <c r="AP31" s="23">
        <f>'Scores &amp; Ranking'!K31</f>
        <v>47.5</v>
      </c>
    </row>
    <row r="32" ht="15.75" customHeight="1">
      <c r="A32" s="12">
        <v>31.0</v>
      </c>
      <c r="B32" s="6" t="s">
        <v>185</v>
      </c>
      <c r="C32" s="12" t="s">
        <v>186</v>
      </c>
      <c r="D32" s="12" t="s">
        <v>187</v>
      </c>
      <c r="E32" s="3" t="s">
        <v>188</v>
      </c>
      <c r="F32" s="22" t="str">
        <f>IF('Raw Scores (0-1)'!F32=1,"Yes",IF('Raw Scores (0-1)'!F32=0.5,"Partial","No"))</f>
        <v>Partial</v>
      </c>
      <c r="G32" s="22" t="str">
        <f>IF('Raw Scores (0-1)'!G32=1,"Yes",IF('Raw Scores (0-1)'!G32=0.5,"Partial","No"))</f>
        <v>Yes</v>
      </c>
      <c r="H32" s="22" t="str">
        <f>IF('Raw Scores (0-1)'!H32=1,"Yes",IF('Raw Scores (0-1)'!H32=0.5,"Partial","No"))</f>
        <v>Yes</v>
      </c>
      <c r="I32" s="22" t="str">
        <f>IF('Raw Scores (0-1)'!I32=1,"Yes",IF('Raw Scores (0-1)'!I32=0.5,"Partial","No"))</f>
        <v>Yes</v>
      </c>
      <c r="J32" s="22" t="str">
        <f>IF('Raw Scores (0-1)'!J32=1,"Yes",IF('Raw Scores (0-1)'!J32=0.5,"Partial","No"))</f>
        <v>Yes</v>
      </c>
      <c r="K32" s="22" t="str">
        <f>IF('Raw Scores (0-1)'!K32=1,"Yes",IF('Raw Scores (0-1)'!K32=0.5,"Partial","No"))</f>
        <v>Partial</v>
      </c>
      <c r="L32" s="22" t="str">
        <f>IF('Raw Scores (0-1)'!L32=1,"Yes",IF('Raw Scores (0-1)'!L32=0.5,"Partial","No"))</f>
        <v>Yes</v>
      </c>
      <c r="M32" s="22" t="str">
        <f>IF('Raw Scores (0-1)'!M32=1,"Yes",IF('Raw Scores (0-1)'!M32=0.5,"Partial","No"))</f>
        <v>No</v>
      </c>
      <c r="N32" s="22" t="str">
        <f>IF('Raw Scores (0-1)'!N32=1,"Yes",IF('Raw Scores (0-1)'!N32=0.5,"Partial","No"))</f>
        <v>Yes</v>
      </c>
      <c r="O32" s="22" t="str">
        <f>IF('Raw Scores (0-1)'!O32=1,"Yes",IF('Raw Scores (0-1)'!O32=0.5,"Partial","No"))</f>
        <v>Yes</v>
      </c>
      <c r="P32" s="22" t="str">
        <f>IF('Raw Scores (0-1)'!P32=1,"Yes",IF('Raw Scores (0-1)'!P32=0.5,"Partial","No"))</f>
        <v>Yes</v>
      </c>
      <c r="Q32" s="22" t="str">
        <f>IF('Raw Scores (0-1)'!Q32=1,"Yes",IF('Raw Scores (0-1)'!Q32=0.5,"Partial","No"))</f>
        <v>Yes</v>
      </c>
      <c r="R32" s="22" t="str">
        <f>IF('Raw Scores (0-1)'!R32=1,"Yes",IF('Raw Scores (0-1)'!R32=0.5,"Partial","No"))</f>
        <v>Yes</v>
      </c>
      <c r="S32" s="22" t="str">
        <f>IF('Raw Scores (0-1)'!S32=1,"Yes",IF('Raw Scores (0-1)'!S32=0.5,"Partial","No"))</f>
        <v>Yes</v>
      </c>
      <c r="T32" s="22" t="str">
        <f>IF('Raw Scores (0-1)'!T32=1,"Yes",IF('Raw Scores (0-1)'!T32=0.5,"Partial","No"))</f>
        <v>Yes</v>
      </c>
      <c r="U32" s="22" t="str">
        <f>IF('Raw Scores (0-1)'!U32=1,"Yes",IF('Raw Scores (0-1)'!U32=0.5,"Partial","No"))</f>
        <v>Yes</v>
      </c>
      <c r="V32" s="22" t="str">
        <f>IF('Raw Scores (0-1)'!V32=1,"Yes",IF('Raw Scores (0-1)'!V32=0.5,"Partial","No"))</f>
        <v>Yes</v>
      </c>
      <c r="W32" s="22" t="str">
        <f>IF('Raw Scores (0-1)'!W32=1,"Yes",IF('Raw Scores (0-1)'!W32=0.5,"Partial","No"))</f>
        <v>Yes</v>
      </c>
      <c r="X32" s="22" t="str">
        <f>IF('Raw Scores (0-1)'!X32=1,"Yes",IF('Raw Scores (0-1)'!X32=0.5,"Partial","No"))</f>
        <v>Yes</v>
      </c>
      <c r="Y32" s="22" t="str">
        <f>IF('Raw Scores (0-1)'!Y32=1,"Yes",IF('Raw Scores (0-1)'!Y32=0.5,"Partial","No"))</f>
        <v>Yes</v>
      </c>
      <c r="Z32" s="22" t="str">
        <f>IF('Raw Scores (0-1)'!Z32=1,"Yes",IF('Raw Scores (0-1)'!Z32=0.5,"Partial","No"))</f>
        <v>Yes</v>
      </c>
      <c r="AA32" s="22" t="str">
        <f>IF('Raw Scores (0-1)'!AA32=1,"Yes",IF('Raw Scores (0-1)'!AA32=0.5,"Partial","No"))</f>
        <v>Yes</v>
      </c>
      <c r="AB32" s="22" t="str">
        <f>IF('Raw Scores (0-1)'!AB32=1,"Yes",IF('Raw Scores (0-1)'!AB32=0.5,"Partial","No"))</f>
        <v>Yes</v>
      </c>
      <c r="AC32" s="22" t="str">
        <f>IF('Raw Scores (0-1)'!AC32=1,"Yes",IF('Raw Scores (0-1)'!AC32=0.5,"Partial","No"))</f>
        <v>Yes</v>
      </c>
      <c r="AD32" s="22" t="str">
        <f>IF('Raw Scores (0-1)'!AD32=1,"Yes",IF('Raw Scores (0-1)'!AD32=0.5,"Partial","No"))</f>
        <v>Yes</v>
      </c>
      <c r="AE32" s="22" t="str">
        <f>IF('Raw Scores (0-1)'!AE32=1,"Yes",IF('Raw Scores (0-1)'!AE32=0.5,"Partial","No"))</f>
        <v>Yes</v>
      </c>
      <c r="AF32" s="22" t="str">
        <f>IF('Raw Scores (0-1)'!AF32=1,"Yes",IF('Raw Scores (0-1)'!AF32=0.5,"Partial","No"))</f>
        <v>Yes</v>
      </c>
      <c r="AG32" s="22" t="str">
        <f>IF('Raw Scores (0-1)'!AG32=1,"Yes",IF('Raw Scores (0-1)'!AG32=0.5,"Partial","No"))</f>
        <v>Yes</v>
      </c>
      <c r="AH32" s="22" t="str">
        <f>IF('Raw Scores (0-1)'!AH32=1,"Yes",IF('Raw Scores (0-1)'!AH32=0.5,"Partial","No"))</f>
        <v>Yes</v>
      </c>
      <c r="AI32" s="22" t="str">
        <f>IF('Raw Scores (0-1)'!AI32=1,"Yes",IF('Raw Scores (0-1)'!AI32=0.5,"Partial","No"))</f>
        <v>Yes</v>
      </c>
      <c r="AJ32" s="22" t="str">
        <f>IF('Raw Scores (0-1)'!AJ32=1,"Yes",IF('Raw Scores (0-1)'!AJ32=0.5,"Partial","No"))</f>
        <v>Partial</v>
      </c>
      <c r="AK32" s="20">
        <f>'Scores &amp; Ranking'!F32</f>
        <v>35</v>
      </c>
      <c r="AL32" s="20">
        <f>'Scores &amp; Ranking'!G32</f>
        <v>20</v>
      </c>
      <c r="AM32" s="20">
        <f>'Scores &amp; Ranking'!H32</f>
        <v>10</v>
      </c>
      <c r="AN32" s="20">
        <f>'Scores &amp; Ranking'!I32</f>
        <v>10</v>
      </c>
      <c r="AO32" s="20">
        <f>'Scores &amp; Ranking'!J32</f>
        <v>8.5</v>
      </c>
      <c r="AP32" s="23">
        <f>'Scores &amp; Ranking'!K32</f>
        <v>83.5</v>
      </c>
    </row>
    <row r="33" ht="15.75" customHeight="1">
      <c r="A33" s="12">
        <v>32.0</v>
      </c>
      <c r="B33" s="6" t="s">
        <v>189</v>
      </c>
      <c r="C33" s="12" t="s">
        <v>186</v>
      </c>
      <c r="D33" s="12" t="s">
        <v>190</v>
      </c>
      <c r="E33" s="3" t="s">
        <v>191</v>
      </c>
      <c r="F33" s="22" t="str">
        <f>IF('Raw Scores (0-1)'!F33=1,"Yes",IF('Raw Scores (0-1)'!F33=0.5,"Partial","No"))</f>
        <v>Partial</v>
      </c>
      <c r="G33" s="22" t="str">
        <f>IF('Raw Scores (0-1)'!G33=1,"Yes",IF('Raw Scores (0-1)'!G33=0.5,"Partial","No"))</f>
        <v>Yes</v>
      </c>
      <c r="H33" s="22" t="str">
        <f>IF('Raw Scores (0-1)'!H33=1,"Yes",IF('Raw Scores (0-1)'!H33=0.5,"Partial","No"))</f>
        <v>Partial</v>
      </c>
      <c r="I33" s="22" t="str">
        <f>IF('Raw Scores (0-1)'!I33=1,"Yes",IF('Raw Scores (0-1)'!I33=0.5,"Partial","No"))</f>
        <v>No</v>
      </c>
      <c r="J33" s="22" t="str">
        <f>IF('Raw Scores (0-1)'!J33=1,"Yes",IF('Raw Scores (0-1)'!J33=0.5,"Partial","No"))</f>
        <v>Yes</v>
      </c>
      <c r="K33" s="22" t="str">
        <f>IF('Raw Scores (0-1)'!K33=1,"Yes",IF('Raw Scores (0-1)'!K33=0.5,"Partial","No"))</f>
        <v>Partial</v>
      </c>
      <c r="L33" s="22" t="str">
        <f>IF('Raw Scores (0-1)'!L33=1,"Yes",IF('Raw Scores (0-1)'!L33=0.5,"Partial","No"))</f>
        <v>Yes</v>
      </c>
      <c r="M33" s="22" t="str">
        <f>IF('Raw Scores (0-1)'!M33=1,"Yes",IF('Raw Scores (0-1)'!M33=0.5,"Partial","No"))</f>
        <v>Partial</v>
      </c>
      <c r="N33" s="22" t="str">
        <f>IF('Raw Scores (0-1)'!N33=1,"Yes",IF('Raw Scores (0-1)'!N33=0.5,"Partial","No"))</f>
        <v>Yes</v>
      </c>
      <c r="O33" s="22" t="str">
        <f>IF('Raw Scores (0-1)'!O33=1,"Yes",IF('Raw Scores (0-1)'!O33=0.5,"Partial","No"))</f>
        <v>Yes</v>
      </c>
      <c r="P33" s="22" t="str">
        <f>IF('Raw Scores (0-1)'!P33=1,"Yes",IF('Raw Scores (0-1)'!P33=0.5,"Partial","No"))</f>
        <v>Yes</v>
      </c>
      <c r="Q33" s="22" t="str">
        <f>IF('Raw Scores (0-1)'!Q33=1,"Yes",IF('Raw Scores (0-1)'!Q33=0.5,"Partial","No"))</f>
        <v>Partial</v>
      </c>
      <c r="R33" s="22" t="str">
        <f>IF('Raw Scores (0-1)'!R33=1,"Yes",IF('Raw Scores (0-1)'!R33=0.5,"Partial","No"))</f>
        <v>Yes</v>
      </c>
      <c r="S33" s="22" t="str">
        <f>IF('Raw Scores (0-1)'!S33=1,"Yes",IF('Raw Scores (0-1)'!S33=0.5,"Partial","No"))</f>
        <v>Partial</v>
      </c>
      <c r="T33" s="22" t="str">
        <f>IF('Raw Scores (0-1)'!T33=1,"Yes",IF('Raw Scores (0-1)'!T33=0.5,"Partial","No"))</f>
        <v>Yes</v>
      </c>
      <c r="U33" s="22" t="str">
        <f>IF('Raw Scores (0-1)'!U33=1,"Yes",IF('Raw Scores (0-1)'!U33=0.5,"Partial","No"))</f>
        <v>Yes</v>
      </c>
      <c r="V33" s="22" t="str">
        <f>IF('Raw Scores (0-1)'!V33=1,"Yes",IF('Raw Scores (0-1)'!V33=0.5,"Partial","No"))</f>
        <v>Partial</v>
      </c>
      <c r="W33" s="22" t="str">
        <f>IF('Raw Scores (0-1)'!W33=1,"Yes",IF('Raw Scores (0-1)'!W33=0.5,"Partial","No"))</f>
        <v>Yes</v>
      </c>
      <c r="X33" s="22" t="str">
        <f>IF('Raw Scores (0-1)'!X33=1,"Yes",IF('Raw Scores (0-1)'!X33=0.5,"Partial","No"))</f>
        <v>Yes</v>
      </c>
      <c r="Y33" s="22" t="str">
        <f>IF('Raw Scores (0-1)'!Y33=1,"Yes",IF('Raw Scores (0-1)'!Y33=0.5,"Partial","No"))</f>
        <v>Partial</v>
      </c>
      <c r="Z33" s="22" t="str">
        <f>IF('Raw Scores (0-1)'!Z33=1,"Yes",IF('Raw Scores (0-1)'!Z33=0.5,"Partial","No"))</f>
        <v>Yes</v>
      </c>
      <c r="AA33" s="22" t="str">
        <f>IF('Raw Scores (0-1)'!AA33=1,"Yes",IF('Raw Scores (0-1)'!AA33=0.5,"Partial","No"))</f>
        <v>Partial</v>
      </c>
      <c r="AB33" s="22" t="str">
        <f>IF('Raw Scores (0-1)'!AB33=1,"Yes",IF('Raw Scores (0-1)'!AB33=0.5,"Partial","No"))</f>
        <v>Yes</v>
      </c>
      <c r="AC33" s="22" t="str">
        <f>IF('Raw Scores (0-1)'!AC33=1,"Yes",IF('Raw Scores (0-1)'!AC33=0.5,"Partial","No"))</f>
        <v>Yes</v>
      </c>
      <c r="AD33" s="22" t="str">
        <f>IF('Raw Scores (0-1)'!AD33=1,"Yes",IF('Raw Scores (0-1)'!AD33=0.5,"Partial","No"))</f>
        <v>Yes</v>
      </c>
      <c r="AE33" s="22" t="str">
        <f>IF('Raw Scores (0-1)'!AE33=1,"Yes",IF('Raw Scores (0-1)'!AE33=0.5,"Partial","No"))</f>
        <v>Yes</v>
      </c>
      <c r="AF33" s="22" t="str">
        <f>IF('Raw Scores (0-1)'!AF33=1,"Yes",IF('Raw Scores (0-1)'!AF33=0.5,"Partial","No"))</f>
        <v>Yes</v>
      </c>
      <c r="AG33" s="22" t="str">
        <f>IF('Raw Scores (0-1)'!AG33=1,"Yes",IF('Raw Scores (0-1)'!AG33=0.5,"Partial","No"))</f>
        <v>Yes</v>
      </c>
      <c r="AH33" s="22" t="str">
        <f>IF('Raw Scores (0-1)'!AH33=1,"Yes",IF('Raw Scores (0-1)'!AH33=0.5,"Partial","No"))</f>
        <v>Yes</v>
      </c>
      <c r="AI33" s="22" t="str">
        <f>IF('Raw Scores (0-1)'!AI33=1,"Yes",IF('Raw Scores (0-1)'!AI33=0.5,"Partial","No"))</f>
        <v>Yes</v>
      </c>
      <c r="AJ33" s="22" t="str">
        <f>IF('Raw Scores (0-1)'!AJ33=1,"Yes",IF('Raw Scores (0-1)'!AJ33=0.5,"Partial","No"))</f>
        <v>Partial</v>
      </c>
      <c r="AK33" s="20">
        <f>'Scores &amp; Ranking'!F33</f>
        <v>30</v>
      </c>
      <c r="AL33" s="20">
        <f>'Scores &amp; Ranking'!G33</f>
        <v>17</v>
      </c>
      <c r="AM33" s="20">
        <f>'Scores &amp; Ranking'!H33</f>
        <v>8</v>
      </c>
      <c r="AN33" s="20">
        <f>'Scores &amp; Ranking'!I33</f>
        <v>10</v>
      </c>
      <c r="AO33" s="20">
        <f>'Scores &amp; Ranking'!J33</f>
        <v>8.5</v>
      </c>
      <c r="AP33" s="23">
        <f>'Scores &amp; Ranking'!K33</f>
        <v>73.5</v>
      </c>
    </row>
    <row r="34" ht="15.75" customHeight="1">
      <c r="A34" s="12">
        <v>33.0</v>
      </c>
      <c r="B34" s="6" t="s">
        <v>192</v>
      </c>
      <c r="C34" s="12" t="s">
        <v>186</v>
      </c>
      <c r="D34" s="12" t="s">
        <v>193</v>
      </c>
      <c r="E34" s="3" t="s">
        <v>194</v>
      </c>
      <c r="F34" s="22" t="str">
        <f>IF('Raw Scores (0-1)'!F34=1,"Yes",IF('Raw Scores (0-1)'!F34=0.5,"Partial","No"))</f>
        <v>No</v>
      </c>
      <c r="G34" s="22" t="str">
        <f>IF('Raw Scores (0-1)'!G34=1,"Yes",IF('Raw Scores (0-1)'!G34=0.5,"Partial","No"))</f>
        <v>Yes</v>
      </c>
      <c r="H34" s="22" t="str">
        <f>IF('Raw Scores (0-1)'!H34=1,"Yes",IF('Raw Scores (0-1)'!H34=0.5,"Partial","No"))</f>
        <v>Yes</v>
      </c>
      <c r="I34" s="22" t="str">
        <f>IF('Raw Scores (0-1)'!I34=1,"Yes",IF('Raw Scores (0-1)'!I34=0.5,"Partial","No"))</f>
        <v>No</v>
      </c>
      <c r="J34" s="22" t="str">
        <f>IF('Raw Scores (0-1)'!J34=1,"Yes",IF('Raw Scores (0-1)'!J34=0.5,"Partial","No"))</f>
        <v>Yes</v>
      </c>
      <c r="K34" s="22" t="str">
        <f>IF('Raw Scores (0-1)'!K34=1,"Yes",IF('Raw Scores (0-1)'!K34=0.5,"Partial","No"))</f>
        <v>Partial</v>
      </c>
      <c r="L34" s="22" t="str">
        <f>IF('Raw Scores (0-1)'!L34=1,"Yes",IF('Raw Scores (0-1)'!L34=0.5,"Partial","No"))</f>
        <v>Yes</v>
      </c>
      <c r="M34" s="22" t="str">
        <f>IF('Raw Scores (0-1)'!M34=1,"Yes",IF('Raw Scores (0-1)'!M34=0.5,"Partial","No"))</f>
        <v>Partial</v>
      </c>
      <c r="N34" s="22" t="str">
        <f>IF('Raw Scores (0-1)'!N34=1,"Yes",IF('Raw Scores (0-1)'!N34=0.5,"Partial","No"))</f>
        <v>Yes</v>
      </c>
      <c r="O34" s="22" t="str">
        <f>IF('Raw Scores (0-1)'!O34=1,"Yes",IF('Raw Scores (0-1)'!O34=0.5,"Partial","No"))</f>
        <v>Yes</v>
      </c>
      <c r="P34" s="22" t="str">
        <f>IF('Raw Scores (0-1)'!P34=1,"Yes",IF('Raw Scores (0-1)'!P34=0.5,"Partial","No"))</f>
        <v>Yes</v>
      </c>
      <c r="Q34" s="22" t="str">
        <f>IF('Raw Scores (0-1)'!Q34=1,"Yes",IF('Raw Scores (0-1)'!Q34=0.5,"Partial","No"))</f>
        <v>No</v>
      </c>
      <c r="R34" s="22" t="str">
        <f>IF('Raw Scores (0-1)'!R34=1,"Yes",IF('Raw Scores (0-1)'!R34=0.5,"Partial","No"))</f>
        <v>Yes</v>
      </c>
      <c r="S34" s="22" t="str">
        <f>IF('Raw Scores (0-1)'!S34=1,"Yes",IF('Raw Scores (0-1)'!S34=0.5,"Partial","No"))</f>
        <v>Yes</v>
      </c>
      <c r="T34" s="22" t="str">
        <f>IF('Raw Scores (0-1)'!T34=1,"Yes",IF('Raw Scores (0-1)'!T34=0.5,"Partial","No"))</f>
        <v>Yes</v>
      </c>
      <c r="U34" s="22" t="str">
        <f>IF('Raw Scores (0-1)'!U34=1,"Yes",IF('Raw Scores (0-1)'!U34=0.5,"Partial","No"))</f>
        <v>Yes</v>
      </c>
      <c r="V34" s="22" t="str">
        <f>IF('Raw Scores (0-1)'!V34=1,"Yes",IF('Raw Scores (0-1)'!V34=0.5,"Partial","No"))</f>
        <v>Yes</v>
      </c>
      <c r="W34" s="22" t="str">
        <f>IF('Raw Scores (0-1)'!W34=1,"Yes",IF('Raw Scores (0-1)'!W34=0.5,"Partial","No"))</f>
        <v>Yes</v>
      </c>
      <c r="X34" s="22" t="str">
        <f>IF('Raw Scores (0-1)'!X34=1,"Yes",IF('Raw Scores (0-1)'!X34=0.5,"Partial","No"))</f>
        <v>Yes</v>
      </c>
      <c r="Y34" s="22" t="str">
        <f>IF('Raw Scores (0-1)'!Y34=1,"Yes",IF('Raw Scores (0-1)'!Y34=0.5,"Partial","No"))</f>
        <v>Yes</v>
      </c>
      <c r="Z34" s="22" t="str">
        <f>IF('Raw Scores (0-1)'!Z34=1,"Yes",IF('Raw Scores (0-1)'!Z34=0.5,"Partial","No"))</f>
        <v>Yes</v>
      </c>
      <c r="AA34" s="22" t="str">
        <f>IF('Raw Scores (0-1)'!AA34=1,"Yes",IF('Raw Scores (0-1)'!AA34=0.5,"Partial","No"))</f>
        <v>Yes</v>
      </c>
      <c r="AB34" s="22" t="str">
        <f>IF('Raw Scores (0-1)'!AB34=1,"Yes",IF('Raw Scores (0-1)'!AB34=0.5,"Partial","No"))</f>
        <v>Yes</v>
      </c>
      <c r="AC34" s="22" t="str">
        <f>IF('Raw Scores (0-1)'!AC34=1,"Yes",IF('Raw Scores (0-1)'!AC34=0.5,"Partial","No"))</f>
        <v>Yes</v>
      </c>
      <c r="AD34" s="22" t="str">
        <f>IF('Raw Scores (0-1)'!AD34=1,"Yes",IF('Raw Scores (0-1)'!AD34=0.5,"Partial","No"))</f>
        <v>Yes</v>
      </c>
      <c r="AE34" s="22" t="str">
        <f>IF('Raw Scores (0-1)'!AE34=1,"Yes",IF('Raw Scores (0-1)'!AE34=0.5,"Partial","No"))</f>
        <v>Yes</v>
      </c>
      <c r="AF34" s="22" t="str">
        <f>IF('Raw Scores (0-1)'!AF34=1,"Yes",IF('Raw Scores (0-1)'!AF34=0.5,"Partial","No"))</f>
        <v>Yes</v>
      </c>
      <c r="AG34" s="22" t="str">
        <f>IF('Raw Scores (0-1)'!AG34=1,"Yes",IF('Raw Scores (0-1)'!AG34=0.5,"Partial","No"))</f>
        <v>Yes</v>
      </c>
      <c r="AH34" s="22" t="str">
        <f>IF('Raw Scores (0-1)'!AH34=1,"Yes",IF('Raw Scores (0-1)'!AH34=0.5,"Partial","No"))</f>
        <v>Yes</v>
      </c>
      <c r="AI34" s="22" t="str">
        <f>IF('Raw Scores (0-1)'!AI34=1,"Yes",IF('Raw Scores (0-1)'!AI34=0.5,"Partial","No"))</f>
        <v>Yes</v>
      </c>
      <c r="AJ34" s="22" t="str">
        <f>IF('Raw Scores (0-1)'!AJ34=1,"Yes",IF('Raw Scores (0-1)'!AJ34=0.5,"Partial","No"))</f>
        <v>Yes</v>
      </c>
      <c r="AK34" s="20">
        <f>'Scores &amp; Ranking'!F34</f>
        <v>25</v>
      </c>
      <c r="AL34" s="20">
        <f>'Scores &amp; Ranking'!G34</f>
        <v>18</v>
      </c>
      <c r="AM34" s="20">
        <f>'Scores &amp; Ranking'!H34</f>
        <v>10</v>
      </c>
      <c r="AN34" s="20">
        <f>'Scores &amp; Ranking'!I34</f>
        <v>10</v>
      </c>
      <c r="AO34" s="20">
        <f>'Scores &amp; Ranking'!J34</f>
        <v>10</v>
      </c>
      <c r="AP34" s="23">
        <f>'Scores &amp; Ranking'!K34</f>
        <v>73</v>
      </c>
    </row>
    <row r="35" ht="15.75" customHeight="1">
      <c r="A35" s="12">
        <v>34.0</v>
      </c>
      <c r="B35" s="6" t="s">
        <v>195</v>
      </c>
      <c r="C35" s="12" t="s">
        <v>154</v>
      </c>
      <c r="D35" s="12" t="s">
        <v>196</v>
      </c>
      <c r="E35" s="3" t="s">
        <v>197</v>
      </c>
      <c r="F35" s="22" t="str">
        <f>IF('Raw Scores (0-1)'!F35=1,"Yes",IF('Raw Scores (0-1)'!F35=0.5,"Partial","No"))</f>
        <v>Yes</v>
      </c>
      <c r="G35" s="22" t="str">
        <f>IF('Raw Scores (0-1)'!G35=1,"Yes",IF('Raw Scores (0-1)'!G35=0.5,"Partial","No"))</f>
        <v>Yes</v>
      </c>
      <c r="H35" s="22" t="str">
        <f>IF('Raw Scores (0-1)'!H35=1,"Yes",IF('Raw Scores (0-1)'!H35=0.5,"Partial","No"))</f>
        <v>Yes</v>
      </c>
      <c r="I35" s="22" t="str">
        <f>IF('Raw Scores (0-1)'!I35=1,"Yes",IF('Raw Scores (0-1)'!I35=0.5,"Partial","No"))</f>
        <v>Yes</v>
      </c>
      <c r="J35" s="22" t="str">
        <f>IF('Raw Scores (0-1)'!J35=1,"Yes",IF('Raw Scores (0-1)'!J35=0.5,"Partial","No"))</f>
        <v>Yes</v>
      </c>
      <c r="K35" s="22" t="str">
        <f>IF('Raw Scores (0-1)'!K35=1,"Yes",IF('Raw Scores (0-1)'!K35=0.5,"Partial","No"))</f>
        <v>Yes</v>
      </c>
      <c r="L35" s="22" t="str">
        <f>IF('Raw Scores (0-1)'!L35=1,"Yes",IF('Raw Scores (0-1)'!L35=0.5,"Partial","No"))</f>
        <v>Yes</v>
      </c>
      <c r="M35" s="22" t="str">
        <f>IF('Raw Scores (0-1)'!M35=1,"Yes",IF('Raw Scores (0-1)'!M35=0.5,"Partial","No"))</f>
        <v>Yes</v>
      </c>
      <c r="N35" s="22" t="str">
        <f>IF('Raw Scores (0-1)'!N35=1,"Yes",IF('Raw Scores (0-1)'!N35=0.5,"Partial","No"))</f>
        <v>Yes</v>
      </c>
      <c r="O35" s="22" t="str">
        <f>IF('Raw Scores (0-1)'!O35=1,"Yes",IF('Raw Scores (0-1)'!O35=0.5,"Partial","No"))</f>
        <v>Yes</v>
      </c>
      <c r="P35" s="22" t="str">
        <f>IF('Raw Scores (0-1)'!P35=1,"Yes",IF('Raw Scores (0-1)'!P35=0.5,"Partial","No"))</f>
        <v>Yes</v>
      </c>
      <c r="Q35" s="22" t="str">
        <f>IF('Raw Scores (0-1)'!Q35=1,"Yes",IF('Raw Scores (0-1)'!Q35=0.5,"Partial","No"))</f>
        <v>Yes</v>
      </c>
      <c r="R35" s="22" t="str">
        <f>IF('Raw Scores (0-1)'!R35=1,"Yes",IF('Raw Scores (0-1)'!R35=0.5,"Partial","No"))</f>
        <v>Yes</v>
      </c>
      <c r="S35" s="22" t="str">
        <f>IF('Raw Scores (0-1)'!S35=1,"Yes",IF('Raw Scores (0-1)'!S35=0.5,"Partial","No"))</f>
        <v>Yes</v>
      </c>
      <c r="T35" s="22" t="str">
        <f>IF('Raw Scores (0-1)'!T35=1,"Yes",IF('Raw Scores (0-1)'!T35=0.5,"Partial","No"))</f>
        <v>Yes</v>
      </c>
      <c r="U35" s="22" t="str">
        <f>IF('Raw Scores (0-1)'!U35=1,"Yes",IF('Raw Scores (0-1)'!U35=0.5,"Partial","No"))</f>
        <v>Yes</v>
      </c>
      <c r="V35" s="22" t="str">
        <f>IF('Raw Scores (0-1)'!V35=1,"Yes",IF('Raw Scores (0-1)'!V35=0.5,"Partial","No"))</f>
        <v>Yes</v>
      </c>
      <c r="W35" s="22" t="str">
        <f>IF('Raw Scores (0-1)'!W35=1,"Yes",IF('Raw Scores (0-1)'!W35=0.5,"Partial","No"))</f>
        <v>Partial</v>
      </c>
      <c r="X35" s="22" t="str">
        <f>IF('Raw Scores (0-1)'!X35=1,"Yes",IF('Raw Scores (0-1)'!X35=0.5,"Partial","No"))</f>
        <v>Yes</v>
      </c>
      <c r="Y35" s="22" t="str">
        <f>IF('Raw Scores (0-1)'!Y35=1,"Yes",IF('Raw Scores (0-1)'!Y35=0.5,"Partial","No"))</f>
        <v>Yes</v>
      </c>
      <c r="Z35" s="22" t="str">
        <f>IF('Raw Scores (0-1)'!Z35=1,"Yes",IF('Raw Scores (0-1)'!Z35=0.5,"Partial","No"))</f>
        <v>No</v>
      </c>
      <c r="AA35" s="22" t="str">
        <f>IF('Raw Scores (0-1)'!AA35=1,"Yes",IF('Raw Scores (0-1)'!AA35=0.5,"Partial","No"))</f>
        <v>No</v>
      </c>
      <c r="AB35" s="22" t="str">
        <f>IF('Raw Scores (0-1)'!AB35=1,"Yes",IF('Raw Scores (0-1)'!AB35=0.5,"Partial","No"))</f>
        <v>No</v>
      </c>
      <c r="AC35" s="22" t="str">
        <f>IF('Raw Scores (0-1)'!AC35=1,"Yes",IF('Raw Scores (0-1)'!AC35=0.5,"Partial","No"))</f>
        <v>Yes</v>
      </c>
      <c r="AD35" s="22" t="str">
        <f>IF('Raw Scores (0-1)'!AD35=1,"Yes",IF('Raw Scores (0-1)'!AD35=0.5,"Partial","No"))</f>
        <v>Yes</v>
      </c>
      <c r="AE35" s="22" t="str">
        <f>IF('Raw Scores (0-1)'!AE35=1,"Yes",IF('Raw Scores (0-1)'!AE35=0.5,"Partial","No"))</f>
        <v>Yes</v>
      </c>
      <c r="AF35" s="22" t="str">
        <f>IF('Raw Scores (0-1)'!AF35=1,"Yes",IF('Raw Scores (0-1)'!AF35=0.5,"Partial","No"))</f>
        <v>No</v>
      </c>
      <c r="AG35" s="22" t="str">
        <f>IF('Raw Scores (0-1)'!AG35=1,"Yes",IF('Raw Scores (0-1)'!AG35=0.5,"Partial","No"))</f>
        <v>Yes</v>
      </c>
      <c r="AH35" s="22" t="str">
        <f>IF('Raw Scores (0-1)'!AH35=1,"Yes",IF('Raw Scores (0-1)'!AH35=0.5,"Partial","No"))</f>
        <v>Yes</v>
      </c>
      <c r="AI35" s="22" t="str">
        <f>IF('Raw Scores (0-1)'!AI35=1,"Yes",IF('Raw Scores (0-1)'!AI35=0.5,"Partial","No"))</f>
        <v>Yes</v>
      </c>
      <c r="AJ35" s="22" t="str">
        <f>IF('Raw Scores (0-1)'!AJ35=1,"Yes",IF('Raw Scores (0-1)'!AJ35=0.5,"Partial","No"))</f>
        <v>Yes</v>
      </c>
      <c r="AK35" s="20">
        <f>'Scores &amp; Ranking'!F35</f>
        <v>50</v>
      </c>
      <c r="AL35" s="20">
        <f>'Scores &amp; Ranking'!G35</f>
        <v>19</v>
      </c>
      <c r="AM35" s="20">
        <f>'Scores &amp; Ranking'!H35</f>
        <v>4</v>
      </c>
      <c r="AN35" s="20">
        <f>'Scores &amp; Ranking'!I35</f>
        <v>8</v>
      </c>
      <c r="AO35" s="20">
        <f>'Scores &amp; Ranking'!J35</f>
        <v>10</v>
      </c>
      <c r="AP35" s="23">
        <f>'Scores &amp; Ranking'!K35</f>
        <v>91</v>
      </c>
    </row>
    <row r="36" ht="15.75" customHeight="1">
      <c r="A36" s="12">
        <v>35.0</v>
      </c>
      <c r="B36" s="6" t="s">
        <v>198</v>
      </c>
      <c r="C36" s="12" t="s">
        <v>154</v>
      </c>
      <c r="D36" s="12" t="s">
        <v>199</v>
      </c>
      <c r="E36" s="3" t="s">
        <v>200</v>
      </c>
      <c r="F36" s="22" t="str">
        <f>IF('Raw Scores (0-1)'!F36=1,"Yes",IF('Raw Scores (0-1)'!F36=0.5,"Partial","No"))</f>
        <v>Yes</v>
      </c>
      <c r="G36" s="22" t="str">
        <f>IF('Raw Scores (0-1)'!G36=1,"Yes",IF('Raw Scores (0-1)'!G36=0.5,"Partial","No"))</f>
        <v>Yes</v>
      </c>
      <c r="H36" s="22" t="str">
        <f>IF('Raw Scores (0-1)'!H36=1,"Yes",IF('Raw Scores (0-1)'!H36=0.5,"Partial","No"))</f>
        <v>Partial</v>
      </c>
      <c r="I36" s="22" t="str">
        <f>IF('Raw Scores (0-1)'!I36=1,"Yes",IF('Raw Scores (0-1)'!I36=0.5,"Partial","No"))</f>
        <v>Yes</v>
      </c>
      <c r="J36" s="22" t="str">
        <f>IF('Raw Scores (0-1)'!J36=1,"Yes",IF('Raw Scores (0-1)'!J36=0.5,"Partial","No"))</f>
        <v>Yes</v>
      </c>
      <c r="K36" s="22" t="str">
        <f>IF('Raw Scores (0-1)'!K36=1,"Yes",IF('Raw Scores (0-1)'!K36=0.5,"Partial","No"))</f>
        <v>Yes</v>
      </c>
      <c r="L36" s="22" t="str">
        <f>IF('Raw Scores (0-1)'!L36=1,"Yes",IF('Raw Scores (0-1)'!L36=0.5,"Partial","No"))</f>
        <v>Partial</v>
      </c>
      <c r="M36" s="22" t="str">
        <f>IF('Raw Scores (0-1)'!M36=1,"Yes",IF('Raw Scores (0-1)'!M36=0.5,"Partial","No"))</f>
        <v>Yes</v>
      </c>
      <c r="N36" s="22" t="str">
        <f>IF('Raw Scores (0-1)'!N36=1,"Yes",IF('Raw Scores (0-1)'!N36=0.5,"Partial","No"))</f>
        <v>Yes</v>
      </c>
      <c r="O36" s="22" t="str">
        <f>IF('Raw Scores (0-1)'!O36=1,"Yes",IF('Raw Scores (0-1)'!O36=0.5,"Partial","No"))</f>
        <v>Yes</v>
      </c>
      <c r="P36" s="22" t="str">
        <f>IF('Raw Scores (0-1)'!P36=1,"Yes",IF('Raw Scores (0-1)'!P36=0.5,"Partial","No"))</f>
        <v>Yes</v>
      </c>
      <c r="Q36" s="22" t="str">
        <f>IF('Raw Scores (0-1)'!Q36=1,"Yes",IF('Raw Scores (0-1)'!Q36=0.5,"Partial","No"))</f>
        <v>Yes</v>
      </c>
      <c r="R36" s="22" t="str">
        <f>IF('Raw Scores (0-1)'!R36=1,"Yes",IF('Raw Scores (0-1)'!R36=0.5,"Partial","No"))</f>
        <v>Yes</v>
      </c>
      <c r="S36" s="22" t="str">
        <f>IF('Raw Scores (0-1)'!S36=1,"Yes",IF('Raw Scores (0-1)'!S36=0.5,"Partial","No"))</f>
        <v>Yes</v>
      </c>
      <c r="T36" s="22" t="str">
        <f>IF('Raw Scores (0-1)'!T36=1,"Yes",IF('Raw Scores (0-1)'!T36=0.5,"Partial","No"))</f>
        <v>Yes</v>
      </c>
      <c r="U36" s="22" t="str">
        <f>IF('Raw Scores (0-1)'!U36=1,"Yes",IF('Raw Scores (0-1)'!U36=0.5,"Partial","No"))</f>
        <v>Yes</v>
      </c>
      <c r="V36" s="22" t="str">
        <f>IF('Raw Scores (0-1)'!V36=1,"Yes",IF('Raw Scores (0-1)'!V36=0.5,"Partial","No"))</f>
        <v>Yes</v>
      </c>
      <c r="W36" s="22" t="str">
        <f>IF('Raw Scores (0-1)'!W36=1,"Yes",IF('Raw Scores (0-1)'!W36=0.5,"Partial","No"))</f>
        <v>Yes</v>
      </c>
      <c r="X36" s="22" t="str">
        <f>IF('Raw Scores (0-1)'!X36=1,"Yes",IF('Raw Scores (0-1)'!X36=0.5,"Partial","No"))</f>
        <v>Yes</v>
      </c>
      <c r="Y36" s="22" t="str">
        <f>IF('Raw Scores (0-1)'!Y36=1,"Yes",IF('Raw Scores (0-1)'!Y36=0.5,"Partial","No"))</f>
        <v>Yes</v>
      </c>
      <c r="Z36" s="22" t="str">
        <f>IF('Raw Scores (0-1)'!Z36=1,"Yes",IF('Raw Scores (0-1)'!Z36=0.5,"Partial","No"))</f>
        <v>Yes</v>
      </c>
      <c r="AA36" s="22" t="str">
        <f>IF('Raw Scores (0-1)'!AA36=1,"Yes",IF('Raw Scores (0-1)'!AA36=0.5,"Partial","No"))</f>
        <v>Partial</v>
      </c>
      <c r="AB36" s="22" t="str">
        <f>IF('Raw Scores (0-1)'!AB36=1,"Yes",IF('Raw Scores (0-1)'!AB36=0.5,"Partial","No"))</f>
        <v>Partial</v>
      </c>
      <c r="AC36" s="22" t="str">
        <f>IF('Raw Scores (0-1)'!AC36=1,"Yes",IF('Raw Scores (0-1)'!AC36=0.5,"Partial","No"))</f>
        <v>Yes</v>
      </c>
      <c r="AD36" s="22" t="str">
        <f>IF('Raw Scores (0-1)'!AD36=1,"Yes",IF('Raw Scores (0-1)'!AD36=0.5,"Partial","No"))</f>
        <v>Yes</v>
      </c>
      <c r="AE36" s="22" t="str">
        <f>IF('Raw Scores (0-1)'!AE36=1,"Yes",IF('Raw Scores (0-1)'!AE36=0.5,"Partial","No"))</f>
        <v>Yes</v>
      </c>
      <c r="AF36" s="22" t="str">
        <f>IF('Raw Scores (0-1)'!AF36=1,"Yes",IF('Raw Scores (0-1)'!AF36=0.5,"Partial","No"))</f>
        <v>No</v>
      </c>
      <c r="AG36" s="22" t="str">
        <f>IF('Raw Scores (0-1)'!AG36=1,"Yes",IF('Raw Scores (0-1)'!AG36=0.5,"Partial","No"))</f>
        <v>Yes</v>
      </c>
      <c r="AH36" s="22" t="str">
        <f>IF('Raw Scores (0-1)'!AH36=1,"Yes",IF('Raw Scores (0-1)'!AH36=0.5,"Partial","No"))</f>
        <v>Yes</v>
      </c>
      <c r="AI36" s="22" t="str">
        <f>IF('Raw Scores (0-1)'!AI36=1,"Yes",IF('Raw Scores (0-1)'!AI36=0.5,"Partial","No"))</f>
        <v>Yes</v>
      </c>
      <c r="AJ36" s="22" t="str">
        <f>IF('Raw Scores (0-1)'!AJ36=1,"Yes",IF('Raw Scores (0-1)'!AJ36=0.5,"Partial","No"))</f>
        <v>Yes</v>
      </c>
      <c r="AK36" s="20">
        <f>'Scores &amp; Ranking'!F36</f>
        <v>45</v>
      </c>
      <c r="AL36" s="20">
        <f>'Scores &amp; Ranking'!G36</f>
        <v>20</v>
      </c>
      <c r="AM36" s="20">
        <f>'Scores &amp; Ranking'!H36</f>
        <v>8</v>
      </c>
      <c r="AN36" s="20">
        <f>'Scores &amp; Ranking'!I36</f>
        <v>8</v>
      </c>
      <c r="AO36" s="20">
        <f>'Scores &amp; Ranking'!J36</f>
        <v>10</v>
      </c>
      <c r="AP36" s="23">
        <f>'Scores &amp; Ranking'!K36</f>
        <v>91</v>
      </c>
    </row>
    <row r="37" ht="15.75" customHeight="1">
      <c r="A37" s="12">
        <v>36.0</v>
      </c>
      <c r="B37" s="6" t="s">
        <v>201</v>
      </c>
      <c r="C37" s="12" t="s">
        <v>154</v>
      </c>
      <c r="D37" s="12" t="s">
        <v>202</v>
      </c>
      <c r="E37" s="3" t="s">
        <v>203</v>
      </c>
      <c r="F37" s="22" t="str">
        <f>IF('Raw Scores (0-1)'!F37=1,"Yes",IF('Raw Scores (0-1)'!F37=0.5,"Partial","No"))</f>
        <v>Yes</v>
      </c>
      <c r="G37" s="22" t="str">
        <f>IF('Raw Scores (0-1)'!G37=1,"Yes",IF('Raw Scores (0-1)'!G37=0.5,"Partial","No"))</f>
        <v>Yes</v>
      </c>
      <c r="H37" s="22" t="str">
        <f>IF('Raw Scores (0-1)'!H37=1,"Yes",IF('Raw Scores (0-1)'!H37=0.5,"Partial","No"))</f>
        <v>Yes</v>
      </c>
      <c r="I37" s="22" t="str">
        <f>IF('Raw Scores (0-1)'!I37=1,"Yes",IF('Raw Scores (0-1)'!I37=0.5,"Partial","No"))</f>
        <v>Yes</v>
      </c>
      <c r="J37" s="22" t="str">
        <f>IF('Raw Scores (0-1)'!J37=1,"Yes",IF('Raw Scores (0-1)'!J37=0.5,"Partial","No"))</f>
        <v>Yes</v>
      </c>
      <c r="K37" s="22" t="str">
        <f>IF('Raw Scores (0-1)'!K37=1,"Yes",IF('Raw Scores (0-1)'!K37=0.5,"Partial","No"))</f>
        <v>Yes</v>
      </c>
      <c r="L37" s="22" t="str">
        <f>IF('Raw Scores (0-1)'!L37=1,"Yes",IF('Raw Scores (0-1)'!L37=0.5,"Partial","No"))</f>
        <v>Partial</v>
      </c>
      <c r="M37" s="22" t="str">
        <f>IF('Raw Scores (0-1)'!M37=1,"Yes",IF('Raw Scores (0-1)'!M37=0.5,"Partial","No"))</f>
        <v>No</v>
      </c>
      <c r="N37" s="22" t="str">
        <f>IF('Raw Scores (0-1)'!N37=1,"Yes",IF('Raw Scores (0-1)'!N37=0.5,"Partial","No"))</f>
        <v>Yes</v>
      </c>
      <c r="O37" s="22" t="str">
        <f>IF('Raw Scores (0-1)'!O37=1,"Yes",IF('Raw Scores (0-1)'!O37=0.5,"Partial","No"))</f>
        <v>Yes</v>
      </c>
      <c r="P37" s="22" t="str">
        <f>IF('Raw Scores (0-1)'!P37=1,"Yes",IF('Raw Scores (0-1)'!P37=0.5,"Partial","No"))</f>
        <v>Partial</v>
      </c>
      <c r="Q37" s="22" t="str">
        <f>IF('Raw Scores (0-1)'!Q37=1,"Yes",IF('Raw Scores (0-1)'!Q37=0.5,"Partial","No"))</f>
        <v>No</v>
      </c>
      <c r="R37" s="22" t="str">
        <f>IF('Raw Scores (0-1)'!R37=1,"Yes",IF('Raw Scores (0-1)'!R37=0.5,"Partial","No"))</f>
        <v>Partial</v>
      </c>
      <c r="S37" s="22" t="str">
        <f>IF('Raw Scores (0-1)'!S37=1,"Yes",IF('Raw Scores (0-1)'!S37=0.5,"Partial","No"))</f>
        <v>No</v>
      </c>
      <c r="T37" s="22" t="str">
        <f>IF('Raw Scores (0-1)'!T37=1,"Yes",IF('Raw Scores (0-1)'!T37=0.5,"Partial","No"))</f>
        <v>No</v>
      </c>
      <c r="U37" s="22" t="str">
        <f>IF('Raw Scores (0-1)'!U37=1,"Yes",IF('Raw Scores (0-1)'!U37=0.5,"Partial","No"))</f>
        <v>Partial</v>
      </c>
      <c r="V37" s="22" t="str">
        <f>IF('Raw Scores (0-1)'!V37=1,"Yes",IF('Raw Scores (0-1)'!V37=0.5,"Partial","No"))</f>
        <v>No</v>
      </c>
      <c r="W37" s="22" t="str">
        <f>IF('Raw Scores (0-1)'!W37=1,"Yes",IF('Raw Scores (0-1)'!W37=0.5,"Partial","No"))</f>
        <v>No</v>
      </c>
      <c r="X37" s="22" t="str">
        <f>IF('Raw Scores (0-1)'!X37=1,"Yes",IF('Raw Scores (0-1)'!X37=0.5,"Partial","No"))</f>
        <v>No</v>
      </c>
      <c r="Y37" s="22" t="str">
        <f>IF('Raw Scores (0-1)'!Y37=1,"Yes",IF('Raw Scores (0-1)'!Y37=0.5,"Partial","No"))</f>
        <v>No</v>
      </c>
      <c r="Z37" s="22" t="str">
        <f>IF('Raw Scores (0-1)'!Z37=1,"Yes",IF('Raw Scores (0-1)'!Z37=0.5,"Partial","No"))</f>
        <v>No</v>
      </c>
      <c r="AA37" s="22" t="str">
        <f>IF('Raw Scores (0-1)'!AA37=1,"Yes",IF('Raw Scores (0-1)'!AA37=0.5,"Partial","No"))</f>
        <v>No</v>
      </c>
      <c r="AB37" s="22" t="str">
        <f>IF('Raw Scores (0-1)'!AB37=1,"Yes",IF('Raw Scores (0-1)'!AB37=0.5,"Partial","No"))</f>
        <v>No</v>
      </c>
      <c r="AC37" s="22" t="str">
        <f>IF('Raw Scores (0-1)'!AC37=1,"Yes",IF('Raw Scores (0-1)'!AC37=0.5,"Partial","No"))</f>
        <v>No</v>
      </c>
      <c r="AD37" s="22" t="str">
        <f>IF('Raw Scores (0-1)'!AD37=1,"Yes",IF('Raw Scores (0-1)'!AD37=0.5,"Partial","No"))</f>
        <v>Yes</v>
      </c>
      <c r="AE37" s="22" t="str">
        <f>IF('Raw Scores (0-1)'!AE37=1,"Yes",IF('Raw Scores (0-1)'!AE37=0.5,"Partial","No"))</f>
        <v>No</v>
      </c>
      <c r="AF37" s="22" t="str">
        <f>IF('Raw Scores (0-1)'!AF37=1,"Yes",IF('Raw Scores (0-1)'!AF37=0.5,"Partial","No"))</f>
        <v>No</v>
      </c>
      <c r="AG37" s="22" t="str">
        <f>IF('Raw Scores (0-1)'!AG37=1,"Yes",IF('Raw Scores (0-1)'!AG37=0.5,"Partial","No"))</f>
        <v>Partial</v>
      </c>
      <c r="AH37" s="22" t="str">
        <f>IF('Raw Scores (0-1)'!AH37=1,"Yes",IF('Raw Scores (0-1)'!AH37=0.5,"Partial","No"))</f>
        <v>Yes</v>
      </c>
      <c r="AI37" s="22" t="str">
        <f>IF('Raw Scores (0-1)'!AI37=1,"Yes",IF('Raw Scores (0-1)'!AI37=0.5,"Partial","No"))</f>
        <v>Yes</v>
      </c>
      <c r="AJ37" s="22" t="str">
        <f>IF('Raw Scores (0-1)'!AJ37=1,"Yes",IF('Raw Scores (0-1)'!AJ37=0.5,"Partial","No"))</f>
        <v>Yes</v>
      </c>
      <c r="AK37" s="20">
        <f>'Scores &amp; Ranking'!F37</f>
        <v>42.5</v>
      </c>
      <c r="AL37" s="20">
        <f>'Scores &amp; Ranking'!G37</f>
        <v>7</v>
      </c>
      <c r="AM37" s="20">
        <f>'Scores &amp; Ranking'!H37</f>
        <v>0</v>
      </c>
      <c r="AN37" s="20">
        <f>'Scores &amp; Ranking'!I37</f>
        <v>3</v>
      </c>
      <c r="AO37" s="20">
        <f>'Scores &amp; Ranking'!J37</f>
        <v>10</v>
      </c>
      <c r="AP37" s="23">
        <f>'Scores &amp; Ranking'!K37</f>
        <v>62.5</v>
      </c>
    </row>
    <row r="38" ht="15.75" customHeight="1">
      <c r="A38" s="12">
        <v>37.0</v>
      </c>
      <c r="B38" s="6" t="s">
        <v>204</v>
      </c>
      <c r="C38" s="12" t="s">
        <v>154</v>
      </c>
      <c r="D38" s="12" t="s">
        <v>205</v>
      </c>
      <c r="E38" s="3" t="s">
        <v>206</v>
      </c>
      <c r="F38" s="22" t="str">
        <f>IF('Raw Scores (0-1)'!F38=1,"Yes",IF('Raw Scores (0-1)'!F38=0.5,"Partial","No"))</f>
        <v>Yes</v>
      </c>
      <c r="G38" s="22" t="str">
        <f>IF('Raw Scores (0-1)'!G38=1,"Yes",IF('Raw Scores (0-1)'!G38=0.5,"Partial","No"))</f>
        <v>Yes</v>
      </c>
      <c r="H38" s="22" t="str">
        <f>IF('Raw Scores (0-1)'!H38=1,"Yes",IF('Raw Scores (0-1)'!H38=0.5,"Partial","No"))</f>
        <v>Yes</v>
      </c>
      <c r="I38" s="22" t="str">
        <f>IF('Raw Scores (0-1)'!I38=1,"Yes",IF('Raw Scores (0-1)'!I38=0.5,"Partial","No"))</f>
        <v>No</v>
      </c>
      <c r="J38" s="22" t="str">
        <f>IF('Raw Scores (0-1)'!J38=1,"Yes",IF('Raw Scores (0-1)'!J38=0.5,"Partial","No"))</f>
        <v>Yes</v>
      </c>
      <c r="K38" s="22" t="str">
        <f>IF('Raw Scores (0-1)'!K38=1,"Yes",IF('Raw Scores (0-1)'!K38=0.5,"Partial","No"))</f>
        <v>Yes</v>
      </c>
      <c r="L38" s="22" t="str">
        <f>IF('Raw Scores (0-1)'!L38=1,"Yes",IF('Raw Scores (0-1)'!L38=0.5,"Partial","No"))</f>
        <v>Yes</v>
      </c>
      <c r="M38" s="22" t="str">
        <f>IF('Raw Scores (0-1)'!M38=1,"Yes",IF('Raw Scores (0-1)'!M38=0.5,"Partial","No"))</f>
        <v>No</v>
      </c>
      <c r="N38" s="22" t="str">
        <f>IF('Raw Scores (0-1)'!N38=1,"Yes",IF('Raw Scores (0-1)'!N38=0.5,"Partial","No"))</f>
        <v>Yes</v>
      </c>
      <c r="O38" s="22" t="str">
        <f>IF('Raw Scores (0-1)'!O38=1,"Yes",IF('Raw Scores (0-1)'!O38=0.5,"Partial","No"))</f>
        <v>Yes</v>
      </c>
      <c r="P38" s="22" t="str">
        <f>IF('Raw Scores (0-1)'!P38=1,"Yes",IF('Raw Scores (0-1)'!P38=0.5,"Partial","No"))</f>
        <v>Yes</v>
      </c>
      <c r="Q38" s="22" t="str">
        <f>IF('Raw Scores (0-1)'!Q38=1,"Yes",IF('Raw Scores (0-1)'!Q38=0.5,"Partial","No"))</f>
        <v>Yes</v>
      </c>
      <c r="R38" s="22" t="str">
        <f>IF('Raw Scores (0-1)'!R38=1,"Yes",IF('Raw Scores (0-1)'!R38=0.5,"Partial","No"))</f>
        <v>Partial</v>
      </c>
      <c r="S38" s="22" t="str">
        <f>IF('Raw Scores (0-1)'!S38=1,"Yes",IF('Raw Scores (0-1)'!S38=0.5,"Partial","No"))</f>
        <v>Yes</v>
      </c>
      <c r="T38" s="22" t="str">
        <f>IF('Raw Scores (0-1)'!T38=1,"Yes",IF('Raw Scores (0-1)'!T38=0.5,"Partial","No"))</f>
        <v>Partial</v>
      </c>
      <c r="U38" s="22" t="str">
        <f>IF('Raw Scores (0-1)'!U38=1,"Yes",IF('Raw Scores (0-1)'!U38=0.5,"Partial","No"))</f>
        <v>Partial</v>
      </c>
      <c r="V38" s="22" t="str">
        <f>IF('Raw Scores (0-1)'!V38=1,"Yes",IF('Raw Scores (0-1)'!V38=0.5,"Partial","No"))</f>
        <v>Partial</v>
      </c>
      <c r="W38" s="22" t="str">
        <f>IF('Raw Scores (0-1)'!W38=1,"Yes",IF('Raw Scores (0-1)'!W38=0.5,"Partial","No"))</f>
        <v>Yes</v>
      </c>
      <c r="X38" s="22" t="str">
        <f>IF('Raw Scores (0-1)'!X38=1,"Yes",IF('Raw Scores (0-1)'!X38=0.5,"Partial","No"))</f>
        <v>Yes</v>
      </c>
      <c r="Y38" s="22" t="str">
        <f>IF('Raw Scores (0-1)'!Y38=1,"Yes",IF('Raw Scores (0-1)'!Y38=0.5,"Partial","No"))</f>
        <v>Yes</v>
      </c>
      <c r="Z38" s="22" t="str">
        <f>IF('Raw Scores (0-1)'!Z38=1,"Yes",IF('Raw Scores (0-1)'!Z38=0.5,"Partial","No"))</f>
        <v>Yes</v>
      </c>
      <c r="AA38" s="22" t="str">
        <f>IF('Raw Scores (0-1)'!AA38=1,"Yes",IF('Raw Scores (0-1)'!AA38=0.5,"Partial","No"))</f>
        <v>Yes</v>
      </c>
      <c r="AB38" s="22" t="str">
        <f>IF('Raw Scores (0-1)'!AB38=1,"Yes",IF('Raw Scores (0-1)'!AB38=0.5,"Partial","No"))</f>
        <v>Yes</v>
      </c>
      <c r="AC38" s="22" t="str">
        <f>IF('Raw Scores (0-1)'!AC38=1,"Yes",IF('Raw Scores (0-1)'!AC38=0.5,"Partial","No"))</f>
        <v>Yes</v>
      </c>
      <c r="AD38" s="22" t="str">
        <f>IF('Raw Scores (0-1)'!AD38=1,"Yes",IF('Raw Scores (0-1)'!AD38=0.5,"Partial","No"))</f>
        <v>Yes</v>
      </c>
      <c r="AE38" s="22" t="str">
        <f>IF('Raw Scores (0-1)'!AE38=1,"Yes",IF('Raw Scores (0-1)'!AE38=0.5,"Partial","No"))</f>
        <v>Yes</v>
      </c>
      <c r="AF38" s="22" t="str">
        <f>IF('Raw Scores (0-1)'!AF38=1,"Yes",IF('Raw Scores (0-1)'!AF38=0.5,"Partial","No"))</f>
        <v>No</v>
      </c>
      <c r="AG38" s="22" t="str">
        <f>IF('Raw Scores (0-1)'!AG38=1,"Yes",IF('Raw Scores (0-1)'!AG38=0.5,"Partial","No"))</f>
        <v>Yes</v>
      </c>
      <c r="AH38" s="22" t="str">
        <f>IF('Raw Scores (0-1)'!AH38=1,"Yes",IF('Raw Scores (0-1)'!AH38=0.5,"Partial","No"))</f>
        <v>Yes</v>
      </c>
      <c r="AI38" s="22" t="str">
        <f>IF('Raw Scores (0-1)'!AI38=1,"Yes",IF('Raw Scores (0-1)'!AI38=0.5,"Partial","No"))</f>
        <v>Yes</v>
      </c>
      <c r="AJ38" s="22" t="str">
        <f>IF('Raw Scores (0-1)'!AJ38=1,"Yes",IF('Raw Scores (0-1)'!AJ38=0.5,"Partial","No"))</f>
        <v>Yes</v>
      </c>
      <c r="AK38" s="20">
        <f>'Scores &amp; Ranking'!F38</f>
        <v>40</v>
      </c>
      <c r="AL38" s="20">
        <f>'Scores &amp; Ranking'!G38</f>
        <v>16</v>
      </c>
      <c r="AM38" s="20">
        <f>'Scores &amp; Ranking'!H38</f>
        <v>10</v>
      </c>
      <c r="AN38" s="20">
        <f>'Scores &amp; Ranking'!I38</f>
        <v>8</v>
      </c>
      <c r="AO38" s="20">
        <f>'Scores &amp; Ranking'!J38</f>
        <v>10</v>
      </c>
      <c r="AP38" s="23">
        <f>'Scores &amp; Ranking'!K38</f>
        <v>84</v>
      </c>
    </row>
    <row r="39" ht="15.75" customHeight="1">
      <c r="A39" s="12">
        <v>38.0</v>
      </c>
      <c r="B39" s="6" t="s">
        <v>207</v>
      </c>
      <c r="C39" s="12" t="s">
        <v>208</v>
      </c>
      <c r="D39" s="12" t="s">
        <v>209</v>
      </c>
      <c r="E39" s="3" t="s">
        <v>210</v>
      </c>
      <c r="F39" s="22" t="str">
        <f>IF('Raw Scores (0-1)'!F39=1,"Yes",IF('Raw Scores (0-1)'!F39=0.5,"Partial","No"))</f>
        <v>Yes</v>
      </c>
      <c r="G39" s="22" t="str">
        <f>IF('Raw Scores (0-1)'!G39=1,"Yes",IF('Raw Scores (0-1)'!G39=0.5,"Partial","No"))</f>
        <v>Yes</v>
      </c>
      <c r="H39" s="22" t="str">
        <f>IF('Raw Scores (0-1)'!H39=1,"Yes",IF('Raw Scores (0-1)'!H39=0.5,"Partial","No"))</f>
        <v>Yes</v>
      </c>
      <c r="I39" s="22" t="str">
        <f>IF('Raw Scores (0-1)'!I39=1,"Yes",IF('Raw Scores (0-1)'!I39=0.5,"Partial","No"))</f>
        <v>No</v>
      </c>
      <c r="J39" s="22" t="str">
        <f>IF('Raw Scores (0-1)'!J39=1,"Yes",IF('Raw Scores (0-1)'!J39=0.5,"Partial","No"))</f>
        <v>Yes</v>
      </c>
      <c r="K39" s="22" t="str">
        <f>IF('Raw Scores (0-1)'!K39=1,"Yes",IF('Raw Scores (0-1)'!K39=0.5,"Partial","No"))</f>
        <v>Yes</v>
      </c>
      <c r="L39" s="22" t="str">
        <f>IF('Raw Scores (0-1)'!L39=1,"Yes",IF('Raw Scores (0-1)'!L39=0.5,"Partial","No"))</f>
        <v>Yes</v>
      </c>
      <c r="M39" s="22" t="str">
        <f>IF('Raw Scores (0-1)'!M39=1,"Yes",IF('Raw Scores (0-1)'!M39=0.5,"Partial","No"))</f>
        <v>No</v>
      </c>
      <c r="N39" s="22" t="str">
        <f>IF('Raw Scores (0-1)'!N39=1,"Yes",IF('Raw Scores (0-1)'!N39=0.5,"Partial","No"))</f>
        <v>Yes</v>
      </c>
      <c r="O39" s="22" t="str">
        <f>IF('Raw Scores (0-1)'!O39=1,"Yes",IF('Raw Scores (0-1)'!O39=0.5,"Partial","No"))</f>
        <v>Yes</v>
      </c>
      <c r="P39" s="22" t="str">
        <f>IF('Raw Scores (0-1)'!P39=1,"Yes",IF('Raw Scores (0-1)'!P39=0.5,"Partial","No"))</f>
        <v>Yes</v>
      </c>
      <c r="Q39" s="22" t="str">
        <f>IF('Raw Scores (0-1)'!Q39=1,"Yes",IF('Raw Scores (0-1)'!Q39=0.5,"Partial","No"))</f>
        <v>No</v>
      </c>
      <c r="R39" s="22" t="str">
        <f>IF('Raw Scores (0-1)'!R39=1,"Yes",IF('Raw Scores (0-1)'!R39=0.5,"Partial","No"))</f>
        <v>No</v>
      </c>
      <c r="S39" s="22" t="str">
        <f>IF('Raw Scores (0-1)'!S39=1,"Yes",IF('Raw Scores (0-1)'!S39=0.5,"Partial","No"))</f>
        <v>Yes</v>
      </c>
      <c r="T39" s="22" t="str">
        <f>IF('Raw Scores (0-1)'!T39=1,"Yes",IF('Raw Scores (0-1)'!T39=0.5,"Partial","No"))</f>
        <v>No</v>
      </c>
      <c r="U39" s="22" t="str">
        <f>IF('Raw Scores (0-1)'!U39=1,"Yes",IF('Raw Scores (0-1)'!U39=0.5,"Partial","No"))</f>
        <v>Partial</v>
      </c>
      <c r="V39" s="22" t="str">
        <f>IF('Raw Scores (0-1)'!V39=1,"Yes",IF('Raw Scores (0-1)'!V39=0.5,"Partial","No"))</f>
        <v>No</v>
      </c>
      <c r="W39" s="22" t="str">
        <f>IF('Raw Scores (0-1)'!W39=1,"Yes",IF('Raw Scores (0-1)'!W39=0.5,"Partial","No"))</f>
        <v>No</v>
      </c>
      <c r="X39" s="22" t="str">
        <f>IF('Raw Scores (0-1)'!X39=1,"Yes",IF('Raw Scores (0-1)'!X39=0.5,"Partial","No"))</f>
        <v>Yes</v>
      </c>
      <c r="Y39" s="22" t="str">
        <f>IF('Raw Scores (0-1)'!Y39=1,"Yes",IF('Raw Scores (0-1)'!Y39=0.5,"Partial","No"))</f>
        <v>Yes</v>
      </c>
      <c r="Z39" s="22" t="str">
        <f>IF('Raw Scores (0-1)'!Z39=1,"Yes",IF('Raw Scores (0-1)'!Z39=0.5,"Partial","No"))</f>
        <v>Yes</v>
      </c>
      <c r="AA39" s="22" t="str">
        <f>IF('Raw Scores (0-1)'!AA39=1,"Yes",IF('Raw Scores (0-1)'!AA39=0.5,"Partial","No"))</f>
        <v>Partial</v>
      </c>
      <c r="AB39" s="22" t="str">
        <f>IF('Raw Scores (0-1)'!AB39=1,"Yes",IF('Raw Scores (0-1)'!AB39=0.5,"Partial","No"))</f>
        <v>Yes</v>
      </c>
      <c r="AC39" s="22" t="str">
        <f>IF('Raw Scores (0-1)'!AC39=1,"Yes",IF('Raw Scores (0-1)'!AC39=0.5,"Partial","No"))</f>
        <v>No</v>
      </c>
      <c r="AD39" s="22" t="str">
        <f>IF('Raw Scores (0-1)'!AD39=1,"Yes",IF('Raw Scores (0-1)'!AD39=0.5,"Partial","No"))</f>
        <v>No</v>
      </c>
      <c r="AE39" s="22" t="str">
        <f>IF('Raw Scores (0-1)'!AE39=1,"Yes",IF('Raw Scores (0-1)'!AE39=0.5,"Partial","No"))</f>
        <v>Yes</v>
      </c>
      <c r="AF39" s="22" t="str">
        <f>IF('Raw Scores (0-1)'!AF39=1,"Yes",IF('Raw Scores (0-1)'!AF39=0.5,"Partial","No"))</f>
        <v>No</v>
      </c>
      <c r="AG39" s="22" t="str">
        <f>IF('Raw Scores (0-1)'!AG39=1,"Yes",IF('Raw Scores (0-1)'!AG39=0.5,"Partial","No"))</f>
        <v>Partial</v>
      </c>
      <c r="AH39" s="22" t="str">
        <f>IF('Raw Scores (0-1)'!AH39=1,"Yes",IF('Raw Scores (0-1)'!AH39=0.5,"Partial","No"))</f>
        <v>Yes</v>
      </c>
      <c r="AI39" s="22" t="str">
        <f>IF('Raw Scores (0-1)'!AI39=1,"Yes",IF('Raw Scores (0-1)'!AI39=0.5,"Partial","No"))</f>
        <v>Yes</v>
      </c>
      <c r="AJ39" s="22" t="str">
        <f>IF('Raw Scores (0-1)'!AJ39=1,"Yes",IF('Raw Scores (0-1)'!AJ39=0.5,"Partial","No"))</f>
        <v>Yes</v>
      </c>
      <c r="AK39" s="20">
        <f>'Scores &amp; Ranking'!F39</f>
        <v>40</v>
      </c>
      <c r="AL39" s="20">
        <f>'Scores &amp; Ranking'!G39</f>
        <v>9</v>
      </c>
      <c r="AM39" s="20">
        <f>'Scores &amp; Ranking'!H39</f>
        <v>9</v>
      </c>
      <c r="AN39" s="20">
        <f>'Scores &amp; Ranking'!I39</f>
        <v>3.5</v>
      </c>
      <c r="AO39" s="20">
        <f>'Scores &amp; Ranking'!J39</f>
        <v>10</v>
      </c>
      <c r="AP39" s="23">
        <f>'Scores &amp; Ranking'!K39</f>
        <v>71.5</v>
      </c>
    </row>
    <row r="40" ht="15.75" customHeight="1">
      <c r="A40" s="12">
        <v>39.0</v>
      </c>
      <c r="B40" s="6" t="s">
        <v>211</v>
      </c>
      <c r="C40" s="12" t="s">
        <v>154</v>
      </c>
      <c r="D40" s="12" t="s">
        <v>212</v>
      </c>
      <c r="E40" s="3" t="s">
        <v>213</v>
      </c>
      <c r="F40" s="22" t="str">
        <f>IF('Raw Scores (0-1)'!F40=1,"Yes",IF('Raw Scores (0-1)'!F40=0.5,"Partial","No"))</f>
        <v>Yes</v>
      </c>
      <c r="G40" s="22" t="str">
        <f>IF('Raw Scores (0-1)'!G40=1,"Yes",IF('Raw Scores (0-1)'!G40=0.5,"Partial","No"))</f>
        <v>Yes</v>
      </c>
      <c r="H40" s="22" t="str">
        <f>IF('Raw Scores (0-1)'!H40=1,"Yes",IF('Raw Scores (0-1)'!H40=0.5,"Partial","No"))</f>
        <v>Yes</v>
      </c>
      <c r="I40" s="22" t="str">
        <f>IF('Raw Scores (0-1)'!I40=1,"Yes",IF('Raw Scores (0-1)'!I40=0.5,"Partial","No"))</f>
        <v>Yes</v>
      </c>
      <c r="J40" s="22" t="str">
        <f>IF('Raw Scores (0-1)'!J40=1,"Yes",IF('Raw Scores (0-1)'!J40=0.5,"Partial","No"))</f>
        <v>Yes</v>
      </c>
      <c r="K40" s="22" t="str">
        <f>IF('Raw Scores (0-1)'!K40=1,"Yes",IF('Raw Scores (0-1)'!K40=0.5,"Partial","No"))</f>
        <v>Yes</v>
      </c>
      <c r="L40" s="22" t="str">
        <f>IF('Raw Scores (0-1)'!L40=1,"Yes",IF('Raw Scores (0-1)'!L40=0.5,"Partial","No"))</f>
        <v>Yes</v>
      </c>
      <c r="M40" s="22" t="str">
        <f>IF('Raw Scores (0-1)'!M40=1,"Yes",IF('Raw Scores (0-1)'!M40=0.5,"Partial","No"))</f>
        <v>No</v>
      </c>
      <c r="N40" s="22" t="str">
        <f>IF('Raw Scores (0-1)'!N40=1,"Yes",IF('Raw Scores (0-1)'!N40=0.5,"Partial","No"))</f>
        <v>Yes</v>
      </c>
      <c r="O40" s="22" t="str">
        <f>IF('Raw Scores (0-1)'!O40=1,"Yes",IF('Raw Scores (0-1)'!O40=0.5,"Partial","No"))</f>
        <v>Yes</v>
      </c>
      <c r="P40" s="22" t="str">
        <f>IF('Raw Scores (0-1)'!P40=1,"Yes",IF('Raw Scores (0-1)'!P40=0.5,"Partial","No"))</f>
        <v>Yes</v>
      </c>
      <c r="Q40" s="22" t="str">
        <f>IF('Raw Scores (0-1)'!Q40=1,"Yes",IF('Raw Scores (0-1)'!Q40=0.5,"Partial","No"))</f>
        <v>Yes</v>
      </c>
      <c r="R40" s="22" t="str">
        <f>IF('Raw Scores (0-1)'!R40=1,"Yes",IF('Raw Scores (0-1)'!R40=0.5,"Partial","No"))</f>
        <v>Yes</v>
      </c>
      <c r="S40" s="22" t="str">
        <f>IF('Raw Scores (0-1)'!S40=1,"Yes",IF('Raw Scores (0-1)'!S40=0.5,"Partial","No"))</f>
        <v>Partial</v>
      </c>
      <c r="T40" s="22" t="str">
        <f>IF('Raw Scores (0-1)'!T40=1,"Yes",IF('Raw Scores (0-1)'!T40=0.5,"Partial","No"))</f>
        <v>Yes</v>
      </c>
      <c r="U40" s="22" t="str">
        <f>IF('Raw Scores (0-1)'!U40=1,"Yes",IF('Raw Scores (0-1)'!U40=0.5,"Partial","No"))</f>
        <v>Yes</v>
      </c>
      <c r="V40" s="22" t="str">
        <f>IF('Raw Scores (0-1)'!V40=1,"Yes",IF('Raw Scores (0-1)'!V40=0.5,"Partial","No"))</f>
        <v>Partial</v>
      </c>
      <c r="W40" s="22" t="str">
        <f>IF('Raw Scores (0-1)'!W40=1,"Yes",IF('Raw Scores (0-1)'!W40=0.5,"Partial","No"))</f>
        <v>Partial</v>
      </c>
      <c r="X40" s="22" t="str">
        <f>IF('Raw Scores (0-1)'!X40=1,"Yes",IF('Raw Scores (0-1)'!X40=0.5,"Partial","No"))</f>
        <v>No</v>
      </c>
      <c r="Y40" s="22" t="str">
        <f>IF('Raw Scores (0-1)'!Y40=1,"Yes",IF('Raw Scores (0-1)'!Y40=0.5,"Partial","No"))</f>
        <v>No</v>
      </c>
      <c r="Z40" s="22" t="str">
        <f>IF('Raw Scores (0-1)'!Z40=1,"Yes",IF('Raw Scores (0-1)'!Z40=0.5,"Partial","No"))</f>
        <v>No</v>
      </c>
      <c r="AA40" s="22" t="str">
        <f>IF('Raw Scores (0-1)'!AA40=1,"Yes",IF('Raw Scores (0-1)'!AA40=0.5,"Partial","No"))</f>
        <v>No</v>
      </c>
      <c r="AB40" s="22" t="str">
        <f>IF('Raw Scores (0-1)'!AB40=1,"Yes",IF('Raw Scores (0-1)'!AB40=0.5,"Partial","No"))</f>
        <v>No</v>
      </c>
      <c r="AC40" s="22" t="str">
        <f>IF('Raw Scores (0-1)'!AC40=1,"Yes",IF('Raw Scores (0-1)'!AC40=0.5,"Partial","No"))</f>
        <v>Yes</v>
      </c>
      <c r="AD40" s="22" t="str">
        <f>IF('Raw Scores (0-1)'!AD40=1,"Yes",IF('Raw Scores (0-1)'!AD40=0.5,"Partial","No"))</f>
        <v>Yes</v>
      </c>
      <c r="AE40" s="22" t="str">
        <f>IF('Raw Scores (0-1)'!AE40=1,"Yes",IF('Raw Scores (0-1)'!AE40=0.5,"Partial","No"))</f>
        <v>Yes</v>
      </c>
      <c r="AF40" s="22" t="str">
        <f>IF('Raw Scores (0-1)'!AF40=1,"Yes",IF('Raw Scores (0-1)'!AF40=0.5,"Partial","No"))</f>
        <v>No</v>
      </c>
      <c r="AG40" s="22" t="str">
        <f>IF('Raw Scores (0-1)'!AG40=1,"Yes",IF('Raw Scores (0-1)'!AG40=0.5,"Partial","No"))</f>
        <v>Yes</v>
      </c>
      <c r="AH40" s="22" t="str">
        <f>IF('Raw Scores (0-1)'!AH40=1,"Yes",IF('Raw Scores (0-1)'!AH40=0.5,"Partial","No"))</f>
        <v>Yes</v>
      </c>
      <c r="AI40" s="22" t="str">
        <f>IF('Raw Scores (0-1)'!AI40=1,"Yes",IF('Raw Scores (0-1)'!AI40=0.5,"Partial","No"))</f>
        <v>Yes</v>
      </c>
      <c r="AJ40" s="22" t="str">
        <f>IF('Raw Scores (0-1)'!AJ40=1,"Yes",IF('Raw Scores (0-1)'!AJ40=0.5,"Partial","No"))</f>
        <v>Yes</v>
      </c>
      <c r="AK40" s="20">
        <f>'Scores &amp; Ranking'!F40</f>
        <v>45</v>
      </c>
      <c r="AL40" s="20">
        <f>'Scores &amp; Ranking'!G40</f>
        <v>17</v>
      </c>
      <c r="AM40" s="20">
        <f>'Scores &amp; Ranking'!H40</f>
        <v>0</v>
      </c>
      <c r="AN40" s="20">
        <f>'Scores &amp; Ranking'!I40</f>
        <v>8</v>
      </c>
      <c r="AO40" s="20">
        <f>'Scores &amp; Ranking'!J40</f>
        <v>10</v>
      </c>
      <c r="AP40" s="23">
        <f>'Scores &amp; Ranking'!K40</f>
        <v>80</v>
      </c>
    </row>
    <row r="41" ht="15.75" customHeight="1">
      <c r="A41" s="12">
        <v>40.0</v>
      </c>
      <c r="B41" s="6" t="s">
        <v>214</v>
      </c>
      <c r="C41" s="12" t="s">
        <v>208</v>
      </c>
      <c r="D41" s="12" t="s">
        <v>215</v>
      </c>
      <c r="E41" s="3" t="s">
        <v>216</v>
      </c>
      <c r="F41" s="22" t="str">
        <f>IF('Raw Scores (0-1)'!F41=1,"Yes",IF('Raw Scores (0-1)'!F41=0.5,"Partial","No"))</f>
        <v>Partial</v>
      </c>
      <c r="G41" s="22" t="str">
        <f>IF('Raw Scores (0-1)'!G41=1,"Yes",IF('Raw Scores (0-1)'!G41=0.5,"Partial","No"))</f>
        <v>Yes</v>
      </c>
      <c r="H41" s="22" t="str">
        <f>IF('Raw Scores (0-1)'!H41=1,"Yes",IF('Raw Scores (0-1)'!H41=0.5,"Partial","No"))</f>
        <v>Yes</v>
      </c>
      <c r="I41" s="22" t="str">
        <f>IF('Raw Scores (0-1)'!I41=1,"Yes",IF('Raw Scores (0-1)'!I41=0.5,"Partial","No"))</f>
        <v>No</v>
      </c>
      <c r="J41" s="22" t="str">
        <f>IF('Raw Scores (0-1)'!J41=1,"Yes",IF('Raw Scores (0-1)'!J41=0.5,"Partial","No"))</f>
        <v>No</v>
      </c>
      <c r="K41" s="22" t="str">
        <f>IF('Raw Scores (0-1)'!K41=1,"Yes",IF('Raw Scores (0-1)'!K41=0.5,"Partial","No"))</f>
        <v>No</v>
      </c>
      <c r="L41" s="22" t="str">
        <f>IF('Raw Scores (0-1)'!L41=1,"Yes",IF('Raw Scores (0-1)'!L41=0.5,"Partial","No"))</f>
        <v>No</v>
      </c>
      <c r="M41" s="22" t="str">
        <f>IF('Raw Scores (0-1)'!M41=1,"Yes",IF('Raw Scores (0-1)'!M41=0.5,"Partial","No"))</f>
        <v>No</v>
      </c>
      <c r="N41" s="22" t="str">
        <f>IF('Raw Scores (0-1)'!N41=1,"Yes",IF('Raw Scores (0-1)'!N41=0.5,"Partial","No"))</f>
        <v>Yes</v>
      </c>
      <c r="O41" s="22" t="str">
        <f>IF('Raw Scores (0-1)'!O41=1,"Yes",IF('Raw Scores (0-1)'!O41=0.5,"Partial","No"))</f>
        <v>Yes</v>
      </c>
      <c r="P41" s="22" t="str">
        <f>IF('Raw Scores (0-1)'!P41=1,"Yes",IF('Raw Scores (0-1)'!P41=0.5,"Partial","No"))</f>
        <v>Yes</v>
      </c>
      <c r="Q41" s="22" t="str">
        <f>IF('Raw Scores (0-1)'!Q41=1,"Yes",IF('Raw Scores (0-1)'!Q41=0.5,"Partial","No"))</f>
        <v>Partial</v>
      </c>
      <c r="R41" s="22" t="str">
        <f>IF('Raw Scores (0-1)'!R41=1,"Yes",IF('Raw Scores (0-1)'!R41=0.5,"Partial","No"))</f>
        <v>No</v>
      </c>
      <c r="S41" s="22" t="str">
        <f>IF('Raw Scores (0-1)'!S41=1,"Yes",IF('Raw Scores (0-1)'!S41=0.5,"Partial","No"))</f>
        <v>No</v>
      </c>
      <c r="T41" s="22" t="str">
        <f>IF('Raw Scores (0-1)'!T41=1,"Yes",IF('Raw Scores (0-1)'!T41=0.5,"Partial","No"))</f>
        <v>No</v>
      </c>
      <c r="U41" s="22" t="str">
        <f>IF('Raw Scores (0-1)'!U41=1,"Yes",IF('Raw Scores (0-1)'!U41=0.5,"Partial","No"))</f>
        <v>Yes</v>
      </c>
      <c r="V41" s="22" t="str">
        <f>IF('Raw Scores (0-1)'!V41=1,"Yes",IF('Raw Scores (0-1)'!V41=0.5,"Partial","No"))</f>
        <v>Yes</v>
      </c>
      <c r="W41" s="22" t="str">
        <f>IF('Raw Scores (0-1)'!W41=1,"Yes",IF('Raw Scores (0-1)'!W41=0.5,"Partial","No"))</f>
        <v>No</v>
      </c>
      <c r="X41" s="22" t="str">
        <f>IF('Raw Scores (0-1)'!X41=1,"Yes",IF('Raw Scores (0-1)'!X41=0.5,"Partial","No"))</f>
        <v>No</v>
      </c>
      <c r="Y41" s="22" t="str">
        <f>IF('Raw Scores (0-1)'!Y41=1,"Yes",IF('Raw Scores (0-1)'!Y41=0.5,"Partial","No"))</f>
        <v>No</v>
      </c>
      <c r="Z41" s="22" t="str">
        <f>IF('Raw Scores (0-1)'!Z41=1,"Yes",IF('Raw Scores (0-1)'!Z41=0.5,"Partial","No"))</f>
        <v>No</v>
      </c>
      <c r="AA41" s="22" t="str">
        <f>IF('Raw Scores (0-1)'!AA41=1,"Yes",IF('Raw Scores (0-1)'!AA41=0.5,"Partial","No"))</f>
        <v>No</v>
      </c>
      <c r="AB41" s="22" t="str">
        <f>IF('Raw Scores (0-1)'!AB41=1,"Yes",IF('Raw Scores (0-1)'!AB41=0.5,"Partial","No"))</f>
        <v>No</v>
      </c>
      <c r="AC41" s="22" t="str">
        <f>IF('Raw Scores (0-1)'!AC41=1,"Yes",IF('Raw Scores (0-1)'!AC41=0.5,"Partial","No"))</f>
        <v>No</v>
      </c>
      <c r="AD41" s="22" t="str">
        <f>IF('Raw Scores (0-1)'!AD41=1,"Yes",IF('Raw Scores (0-1)'!AD41=0.5,"Partial","No"))</f>
        <v>Yes</v>
      </c>
      <c r="AE41" s="22" t="str">
        <f>IF('Raw Scores (0-1)'!AE41=1,"Yes",IF('Raw Scores (0-1)'!AE41=0.5,"Partial","No"))</f>
        <v>No</v>
      </c>
      <c r="AF41" s="22" t="str">
        <f>IF('Raw Scores (0-1)'!AF41=1,"Yes",IF('Raw Scores (0-1)'!AF41=0.5,"Partial","No"))</f>
        <v>No</v>
      </c>
      <c r="AG41" s="22" t="str">
        <f>IF('Raw Scores (0-1)'!AG41=1,"Yes",IF('Raw Scores (0-1)'!AG41=0.5,"Partial","No"))</f>
        <v>No</v>
      </c>
      <c r="AH41" s="22" t="str">
        <f>IF('Raw Scores (0-1)'!AH41=1,"Yes",IF('Raw Scores (0-1)'!AH41=0.5,"Partial","No"))</f>
        <v>Yes</v>
      </c>
      <c r="AI41" s="22" t="str">
        <f>IF('Raw Scores (0-1)'!AI41=1,"Yes",IF('Raw Scores (0-1)'!AI41=0.5,"Partial","No"))</f>
        <v>Yes</v>
      </c>
      <c r="AJ41" s="22" t="str">
        <f>IF('Raw Scores (0-1)'!AJ41=1,"Yes",IF('Raw Scores (0-1)'!AJ41=0.5,"Partial","No"))</f>
        <v>Yes</v>
      </c>
      <c r="AK41" s="20">
        <f>'Scores &amp; Ranking'!F41</f>
        <v>17.5</v>
      </c>
      <c r="AL41" s="20">
        <f>'Scores &amp; Ranking'!G41</f>
        <v>11</v>
      </c>
      <c r="AM41" s="20">
        <f>'Scores &amp; Ranking'!H41</f>
        <v>0</v>
      </c>
      <c r="AN41" s="20">
        <f>'Scores &amp; Ranking'!I41</f>
        <v>1.5</v>
      </c>
      <c r="AO41" s="20">
        <f>'Scores &amp; Ranking'!J41</f>
        <v>10</v>
      </c>
      <c r="AP41" s="23">
        <f>'Scores &amp; Ranking'!K41</f>
        <v>40</v>
      </c>
    </row>
    <row r="42" ht="15.75" customHeight="1">
      <c r="A42" s="12">
        <v>41.0</v>
      </c>
      <c r="B42" s="6" t="s">
        <v>217</v>
      </c>
      <c r="C42" s="12" t="s">
        <v>154</v>
      </c>
      <c r="D42" s="12" t="s">
        <v>218</v>
      </c>
      <c r="E42" s="3" t="s">
        <v>219</v>
      </c>
      <c r="F42" s="22" t="str">
        <f>IF('Raw Scores (0-1)'!F42=1,"Yes",IF('Raw Scores (0-1)'!F42=0.5,"Partial","No"))</f>
        <v>Yes</v>
      </c>
      <c r="G42" s="22" t="str">
        <f>IF('Raw Scores (0-1)'!G42=1,"Yes",IF('Raw Scores (0-1)'!G42=0.5,"Partial","No"))</f>
        <v>Yes</v>
      </c>
      <c r="H42" s="22" t="str">
        <f>IF('Raw Scores (0-1)'!H42=1,"Yes",IF('Raw Scores (0-1)'!H42=0.5,"Partial","No"))</f>
        <v>Yes</v>
      </c>
      <c r="I42" s="22" t="str">
        <f>IF('Raw Scores (0-1)'!I42=1,"Yes",IF('Raw Scores (0-1)'!I42=0.5,"Partial","No"))</f>
        <v>Partial</v>
      </c>
      <c r="J42" s="22" t="str">
        <f>IF('Raw Scores (0-1)'!J42=1,"Yes",IF('Raw Scores (0-1)'!J42=0.5,"Partial","No"))</f>
        <v>Yes</v>
      </c>
      <c r="K42" s="22" t="str">
        <f>IF('Raw Scores (0-1)'!K42=1,"Yes",IF('Raw Scores (0-1)'!K42=0.5,"Partial","No"))</f>
        <v>Yes</v>
      </c>
      <c r="L42" s="22" t="str">
        <f>IF('Raw Scores (0-1)'!L42=1,"Yes",IF('Raw Scores (0-1)'!L42=0.5,"Partial","No"))</f>
        <v>Partial</v>
      </c>
      <c r="M42" s="22" t="str">
        <f>IF('Raw Scores (0-1)'!M42=1,"Yes",IF('Raw Scores (0-1)'!M42=0.5,"Partial","No"))</f>
        <v>No</v>
      </c>
      <c r="N42" s="22" t="str">
        <f>IF('Raw Scores (0-1)'!N42=1,"Yes",IF('Raw Scores (0-1)'!N42=0.5,"Partial","No"))</f>
        <v>Yes</v>
      </c>
      <c r="O42" s="22" t="str">
        <f>IF('Raw Scores (0-1)'!O42=1,"Yes",IF('Raw Scores (0-1)'!O42=0.5,"Partial","No"))</f>
        <v>No</v>
      </c>
      <c r="P42" s="22" t="str">
        <f>IF('Raw Scores (0-1)'!P42=1,"Yes",IF('Raw Scores (0-1)'!P42=0.5,"Partial","No"))</f>
        <v>Yes</v>
      </c>
      <c r="Q42" s="22" t="str">
        <f>IF('Raw Scores (0-1)'!Q42=1,"Yes",IF('Raw Scores (0-1)'!Q42=0.5,"Partial","No"))</f>
        <v>No</v>
      </c>
      <c r="R42" s="22" t="str">
        <f>IF('Raw Scores (0-1)'!R42=1,"Yes",IF('Raw Scores (0-1)'!R42=0.5,"Partial","No"))</f>
        <v>No</v>
      </c>
      <c r="S42" s="22" t="str">
        <f>IF('Raw Scores (0-1)'!S42=1,"Yes",IF('Raw Scores (0-1)'!S42=0.5,"Partial","No"))</f>
        <v>No</v>
      </c>
      <c r="T42" s="22" t="str">
        <f>IF('Raw Scores (0-1)'!T42=1,"Yes",IF('Raw Scores (0-1)'!T42=0.5,"Partial","No"))</f>
        <v>No</v>
      </c>
      <c r="U42" s="22" t="str">
        <f>IF('Raw Scores (0-1)'!U42=1,"Yes",IF('Raw Scores (0-1)'!U42=0.5,"Partial","No"))</f>
        <v>No</v>
      </c>
      <c r="V42" s="22" t="str">
        <f>IF('Raw Scores (0-1)'!V42=1,"Yes",IF('Raw Scores (0-1)'!V42=0.5,"Partial","No"))</f>
        <v>No</v>
      </c>
      <c r="W42" s="22" t="str">
        <f>IF('Raw Scores (0-1)'!W42=1,"Yes",IF('Raw Scores (0-1)'!W42=0.5,"Partial","No"))</f>
        <v>No</v>
      </c>
      <c r="X42" s="22" t="str">
        <f>IF('Raw Scores (0-1)'!X42=1,"Yes",IF('Raw Scores (0-1)'!X42=0.5,"Partial","No"))</f>
        <v>No</v>
      </c>
      <c r="Y42" s="22" t="str">
        <f>IF('Raw Scores (0-1)'!Y42=1,"Yes",IF('Raw Scores (0-1)'!Y42=0.5,"Partial","No"))</f>
        <v>No</v>
      </c>
      <c r="Z42" s="22" t="str">
        <f>IF('Raw Scores (0-1)'!Z42=1,"Yes",IF('Raw Scores (0-1)'!Z42=0.5,"Partial","No"))</f>
        <v>No</v>
      </c>
      <c r="AA42" s="22" t="str">
        <f>IF('Raw Scores (0-1)'!AA42=1,"Yes",IF('Raw Scores (0-1)'!AA42=0.5,"Partial","No"))</f>
        <v>No</v>
      </c>
      <c r="AB42" s="22" t="str">
        <f>IF('Raw Scores (0-1)'!AB42=1,"Yes",IF('Raw Scores (0-1)'!AB42=0.5,"Partial","No"))</f>
        <v>No</v>
      </c>
      <c r="AC42" s="22" t="str">
        <f>IF('Raw Scores (0-1)'!AC42=1,"Yes",IF('Raw Scores (0-1)'!AC42=0.5,"Partial","No"))</f>
        <v>No</v>
      </c>
      <c r="AD42" s="22" t="str">
        <f>IF('Raw Scores (0-1)'!AD42=1,"Yes",IF('Raw Scores (0-1)'!AD42=0.5,"Partial","No"))</f>
        <v>No</v>
      </c>
      <c r="AE42" s="22" t="str">
        <f>IF('Raw Scores (0-1)'!AE42=1,"Yes",IF('Raw Scores (0-1)'!AE42=0.5,"Partial","No"))</f>
        <v>Yes</v>
      </c>
      <c r="AF42" s="22" t="str">
        <f>IF('Raw Scores (0-1)'!AF42=1,"Yes",IF('Raw Scores (0-1)'!AF42=0.5,"Partial","No"))</f>
        <v>No</v>
      </c>
      <c r="AG42" s="22" t="str">
        <f>IF('Raw Scores (0-1)'!AG42=1,"Yes",IF('Raw Scores (0-1)'!AG42=0.5,"Partial","No"))</f>
        <v>Partial</v>
      </c>
      <c r="AH42" s="22" t="str">
        <f>IF('Raw Scores (0-1)'!AH42=1,"Yes",IF('Raw Scores (0-1)'!AH42=0.5,"Partial","No"))</f>
        <v>Yes</v>
      </c>
      <c r="AI42" s="22" t="str">
        <f>IF('Raw Scores (0-1)'!AI42=1,"Yes",IF('Raw Scores (0-1)'!AI42=0.5,"Partial","No"))</f>
        <v>Yes</v>
      </c>
      <c r="AJ42" s="22" t="str">
        <f>IF('Raw Scores (0-1)'!AJ42=1,"Yes",IF('Raw Scores (0-1)'!AJ42=0.5,"Partial","No"))</f>
        <v>Yes</v>
      </c>
      <c r="AK42" s="20">
        <f>'Scores &amp; Ranking'!F42</f>
        <v>40</v>
      </c>
      <c r="AL42" s="20">
        <f>'Scores &amp; Ranking'!G42</f>
        <v>4</v>
      </c>
      <c r="AM42" s="20">
        <f>'Scores &amp; Ranking'!H42</f>
        <v>0</v>
      </c>
      <c r="AN42" s="20">
        <f>'Scores &amp; Ranking'!I42</f>
        <v>3.5</v>
      </c>
      <c r="AO42" s="20">
        <f>'Scores &amp; Ranking'!J42</f>
        <v>10</v>
      </c>
      <c r="AP42" s="23">
        <f>'Scores &amp; Ranking'!K42</f>
        <v>57.5</v>
      </c>
    </row>
    <row r="43" ht="15.75" customHeight="1">
      <c r="A43" s="12">
        <v>42.0</v>
      </c>
      <c r="B43" s="6" t="s">
        <v>220</v>
      </c>
      <c r="C43" s="12" t="s">
        <v>154</v>
      </c>
      <c r="D43" s="12" t="s">
        <v>221</v>
      </c>
      <c r="E43" s="3" t="s">
        <v>222</v>
      </c>
      <c r="F43" s="22" t="str">
        <f>IF('Raw Scores (0-1)'!F43=1,"Yes",IF('Raw Scores (0-1)'!F43=0.5,"Partial","No"))</f>
        <v>Partial</v>
      </c>
      <c r="G43" s="22" t="str">
        <f>IF('Raw Scores (0-1)'!G43=1,"Yes",IF('Raw Scores (0-1)'!G43=0.5,"Partial","No"))</f>
        <v>Yes</v>
      </c>
      <c r="H43" s="22" t="str">
        <f>IF('Raw Scores (0-1)'!H43=1,"Yes",IF('Raw Scores (0-1)'!H43=0.5,"Partial","No"))</f>
        <v>Yes</v>
      </c>
      <c r="I43" s="22" t="str">
        <f>IF('Raw Scores (0-1)'!I43=1,"Yes",IF('Raw Scores (0-1)'!I43=0.5,"Partial","No"))</f>
        <v>Partial</v>
      </c>
      <c r="J43" s="22" t="str">
        <f>IF('Raw Scores (0-1)'!J43=1,"Yes",IF('Raw Scores (0-1)'!J43=0.5,"Partial","No"))</f>
        <v>Yes</v>
      </c>
      <c r="K43" s="22" t="str">
        <f>IF('Raw Scores (0-1)'!K43=1,"Yes",IF('Raw Scores (0-1)'!K43=0.5,"Partial","No"))</f>
        <v>Partial</v>
      </c>
      <c r="L43" s="22" t="str">
        <f>IF('Raw Scores (0-1)'!L43=1,"Yes",IF('Raw Scores (0-1)'!L43=0.5,"Partial","No"))</f>
        <v>Yes</v>
      </c>
      <c r="M43" s="22" t="str">
        <f>IF('Raw Scores (0-1)'!M43=1,"Yes",IF('Raw Scores (0-1)'!M43=0.5,"Partial","No"))</f>
        <v>No</v>
      </c>
      <c r="N43" s="22" t="str">
        <f>IF('Raw Scores (0-1)'!N43=1,"Yes",IF('Raw Scores (0-1)'!N43=0.5,"Partial","No"))</f>
        <v>Yes</v>
      </c>
      <c r="O43" s="22" t="str">
        <f>IF('Raw Scores (0-1)'!O43=1,"Yes",IF('Raw Scores (0-1)'!O43=0.5,"Partial","No"))</f>
        <v>Yes</v>
      </c>
      <c r="P43" s="22" t="str">
        <f>IF('Raw Scores (0-1)'!P43=1,"Yes",IF('Raw Scores (0-1)'!P43=0.5,"Partial","No"))</f>
        <v>Yes</v>
      </c>
      <c r="Q43" s="22" t="str">
        <f>IF('Raw Scores (0-1)'!Q43=1,"Yes",IF('Raw Scores (0-1)'!Q43=0.5,"Partial","No"))</f>
        <v>Yes</v>
      </c>
      <c r="R43" s="22" t="str">
        <f>IF('Raw Scores (0-1)'!R43=1,"Yes",IF('Raw Scores (0-1)'!R43=0.5,"Partial","No"))</f>
        <v>Yes</v>
      </c>
      <c r="S43" s="22" t="str">
        <f>IF('Raw Scores (0-1)'!S43=1,"Yes",IF('Raw Scores (0-1)'!S43=0.5,"Partial","No"))</f>
        <v>Yes</v>
      </c>
      <c r="T43" s="22" t="str">
        <f>IF('Raw Scores (0-1)'!T43=1,"Yes",IF('Raw Scores (0-1)'!T43=0.5,"Partial","No"))</f>
        <v>Yes</v>
      </c>
      <c r="U43" s="22" t="str">
        <f>IF('Raw Scores (0-1)'!U43=1,"Yes",IF('Raw Scores (0-1)'!U43=0.5,"Partial","No"))</f>
        <v>Yes</v>
      </c>
      <c r="V43" s="22" t="str">
        <f>IF('Raw Scores (0-1)'!V43=1,"Yes",IF('Raw Scores (0-1)'!V43=0.5,"Partial","No"))</f>
        <v>Partial</v>
      </c>
      <c r="W43" s="22" t="str">
        <f>IF('Raw Scores (0-1)'!W43=1,"Yes",IF('Raw Scores (0-1)'!W43=0.5,"Partial","No"))</f>
        <v>Partial</v>
      </c>
      <c r="X43" s="22" t="str">
        <f>IF('Raw Scores (0-1)'!X43=1,"Yes",IF('Raw Scores (0-1)'!X43=0.5,"Partial","No"))</f>
        <v>Yes</v>
      </c>
      <c r="Y43" s="22" t="str">
        <f>IF('Raw Scores (0-1)'!Y43=1,"Yes",IF('Raw Scores (0-1)'!Y43=0.5,"Partial","No"))</f>
        <v>Yes</v>
      </c>
      <c r="Z43" s="22" t="str">
        <f>IF('Raw Scores (0-1)'!Z43=1,"Yes",IF('Raw Scores (0-1)'!Z43=0.5,"Partial","No"))</f>
        <v>Yes</v>
      </c>
      <c r="AA43" s="22" t="str">
        <f>IF('Raw Scores (0-1)'!AA43=1,"Yes",IF('Raw Scores (0-1)'!AA43=0.5,"Partial","No"))</f>
        <v>Yes</v>
      </c>
      <c r="AB43" s="22" t="str">
        <f>IF('Raw Scores (0-1)'!AB43=1,"Yes",IF('Raw Scores (0-1)'!AB43=0.5,"Partial","No"))</f>
        <v>No</v>
      </c>
      <c r="AC43" s="22" t="str">
        <f>IF('Raw Scores (0-1)'!AC43=1,"Yes",IF('Raw Scores (0-1)'!AC43=0.5,"Partial","No"))</f>
        <v>No</v>
      </c>
      <c r="AD43" s="22" t="str">
        <f>IF('Raw Scores (0-1)'!AD43=1,"Yes",IF('Raw Scores (0-1)'!AD43=0.5,"Partial","No"))</f>
        <v>Yes</v>
      </c>
      <c r="AE43" s="22" t="str">
        <f>IF('Raw Scores (0-1)'!AE43=1,"Yes",IF('Raw Scores (0-1)'!AE43=0.5,"Partial","No"))</f>
        <v>No</v>
      </c>
      <c r="AF43" s="22" t="str">
        <f>IF('Raw Scores (0-1)'!AF43=1,"Yes",IF('Raw Scores (0-1)'!AF43=0.5,"Partial","No"))</f>
        <v>No</v>
      </c>
      <c r="AG43" s="22" t="str">
        <f>IF('Raw Scores (0-1)'!AG43=1,"Yes",IF('Raw Scores (0-1)'!AG43=0.5,"Partial","No"))</f>
        <v>Partial</v>
      </c>
      <c r="AH43" s="22" t="str">
        <f>IF('Raw Scores (0-1)'!AH43=1,"Yes",IF('Raw Scores (0-1)'!AH43=0.5,"Partial","No"))</f>
        <v>Yes</v>
      </c>
      <c r="AI43" s="22" t="str">
        <f>IF('Raw Scores (0-1)'!AI43=1,"Yes",IF('Raw Scores (0-1)'!AI43=0.5,"Partial","No"))</f>
        <v>Yes</v>
      </c>
      <c r="AJ43" s="22" t="str">
        <f>IF('Raw Scores (0-1)'!AJ43=1,"Yes",IF('Raw Scores (0-1)'!AJ43=0.5,"Partial","No"))</f>
        <v>Partial</v>
      </c>
      <c r="AK43" s="20">
        <f>'Scores &amp; Ranking'!F43</f>
        <v>32.5</v>
      </c>
      <c r="AL43" s="20">
        <f>'Scores &amp; Ranking'!G43</f>
        <v>18</v>
      </c>
      <c r="AM43" s="20">
        <f>'Scores &amp; Ranking'!H43</f>
        <v>8</v>
      </c>
      <c r="AN43" s="20">
        <f>'Scores &amp; Ranking'!I43</f>
        <v>3</v>
      </c>
      <c r="AO43" s="20">
        <f>'Scores &amp; Ranking'!J43</f>
        <v>8.5</v>
      </c>
      <c r="AP43" s="23">
        <f>'Scores &amp; Ranking'!K43</f>
        <v>70</v>
      </c>
    </row>
    <row r="44" ht="15.75" customHeight="1">
      <c r="A44" s="12">
        <v>43.0</v>
      </c>
      <c r="B44" s="6" t="s">
        <v>223</v>
      </c>
      <c r="C44" s="12" t="s">
        <v>186</v>
      </c>
      <c r="D44" s="12" t="s">
        <v>224</v>
      </c>
      <c r="E44" s="3" t="s">
        <v>225</v>
      </c>
      <c r="F44" s="22" t="str">
        <f>IF('Raw Scores (0-1)'!F44=1,"Yes",IF('Raw Scores (0-1)'!F44=0.5,"Partial","No"))</f>
        <v>Partial</v>
      </c>
      <c r="G44" s="22" t="str">
        <f>IF('Raw Scores (0-1)'!G44=1,"Yes",IF('Raw Scores (0-1)'!G44=0.5,"Partial","No"))</f>
        <v>Yes</v>
      </c>
      <c r="H44" s="22" t="str">
        <f>IF('Raw Scores (0-1)'!H44=1,"Yes",IF('Raw Scores (0-1)'!H44=0.5,"Partial","No"))</f>
        <v>Yes</v>
      </c>
      <c r="I44" s="22" t="str">
        <f>IF('Raw Scores (0-1)'!I44=1,"Yes",IF('Raw Scores (0-1)'!I44=0.5,"Partial","No"))</f>
        <v>Yes</v>
      </c>
      <c r="J44" s="22" t="str">
        <f>IF('Raw Scores (0-1)'!J44=1,"Yes",IF('Raw Scores (0-1)'!J44=0.5,"Partial","No"))</f>
        <v>Yes</v>
      </c>
      <c r="K44" s="22" t="str">
        <f>IF('Raw Scores (0-1)'!K44=1,"Yes",IF('Raw Scores (0-1)'!K44=0.5,"Partial","No"))</f>
        <v>Yes</v>
      </c>
      <c r="L44" s="22" t="str">
        <f>IF('Raw Scores (0-1)'!L44=1,"Yes",IF('Raw Scores (0-1)'!L44=0.5,"Partial","No"))</f>
        <v>Yes</v>
      </c>
      <c r="M44" s="22" t="str">
        <f>IF('Raw Scores (0-1)'!M44=1,"Yes",IF('Raw Scores (0-1)'!M44=0.5,"Partial","No"))</f>
        <v>Yes</v>
      </c>
      <c r="N44" s="22" t="str">
        <f>IF('Raw Scores (0-1)'!N44=1,"Yes",IF('Raw Scores (0-1)'!N44=0.5,"Partial","No"))</f>
        <v>Yes</v>
      </c>
      <c r="O44" s="22" t="str">
        <f>IF('Raw Scores (0-1)'!O44=1,"Yes",IF('Raw Scores (0-1)'!O44=0.5,"Partial","No"))</f>
        <v>Yes</v>
      </c>
      <c r="P44" s="22" t="str">
        <f>IF('Raw Scores (0-1)'!P44=1,"Yes",IF('Raw Scores (0-1)'!P44=0.5,"Partial","No"))</f>
        <v>Yes</v>
      </c>
      <c r="Q44" s="22" t="str">
        <f>IF('Raw Scores (0-1)'!Q44=1,"Yes",IF('Raw Scores (0-1)'!Q44=0.5,"Partial","No"))</f>
        <v>Yes</v>
      </c>
      <c r="R44" s="22" t="str">
        <f>IF('Raw Scores (0-1)'!R44=1,"Yes",IF('Raw Scores (0-1)'!R44=0.5,"Partial","No"))</f>
        <v>Yes</v>
      </c>
      <c r="S44" s="22" t="str">
        <f>IF('Raw Scores (0-1)'!S44=1,"Yes",IF('Raw Scores (0-1)'!S44=0.5,"Partial","No"))</f>
        <v>Yes</v>
      </c>
      <c r="T44" s="22" t="str">
        <f>IF('Raw Scores (0-1)'!T44=1,"Yes",IF('Raw Scores (0-1)'!T44=0.5,"Partial","No"))</f>
        <v>Yes</v>
      </c>
      <c r="U44" s="22" t="str">
        <f>IF('Raw Scores (0-1)'!U44=1,"Yes",IF('Raw Scores (0-1)'!U44=0.5,"Partial","No"))</f>
        <v>Yes</v>
      </c>
      <c r="V44" s="22" t="str">
        <f>IF('Raw Scores (0-1)'!V44=1,"Yes",IF('Raw Scores (0-1)'!V44=0.5,"Partial","No"))</f>
        <v>Yes</v>
      </c>
      <c r="W44" s="22" t="str">
        <f>IF('Raw Scores (0-1)'!W44=1,"Yes",IF('Raw Scores (0-1)'!W44=0.5,"Partial","No"))</f>
        <v>Yes</v>
      </c>
      <c r="X44" s="22" t="str">
        <f>IF('Raw Scores (0-1)'!X44=1,"Yes",IF('Raw Scores (0-1)'!X44=0.5,"Partial","No"))</f>
        <v>Yes</v>
      </c>
      <c r="Y44" s="22" t="str">
        <f>IF('Raw Scores (0-1)'!Y44=1,"Yes",IF('Raw Scores (0-1)'!Y44=0.5,"Partial","No"))</f>
        <v>Yes</v>
      </c>
      <c r="Z44" s="22" t="str">
        <f>IF('Raw Scores (0-1)'!Z44=1,"Yes",IF('Raw Scores (0-1)'!Z44=0.5,"Partial","No"))</f>
        <v>Yes</v>
      </c>
      <c r="AA44" s="22" t="str">
        <f>IF('Raw Scores (0-1)'!AA44=1,"Yes",IF('Raw Scores (0-1)'!AA44=0.5,"Partial","No"))</f>
        <v>Yes</v>
      </c>
      <c r="AB44" s="22" t="str">
        <f>IF('Raw Scores (0-1)'!AB44=1,"Yes",IF('Raw Scores (0-1)'!AB44=0.5,"Partial","No"))</f>
        <v>Yes</v>
      </c>
      <c r="AC44" s="22" t="str">
        <f>IF('Raw Scores (0-1)'!AC44=1,"Yes",IF('Raw Scores (0-1)'!AC44=0.5,"Partial","No"))</f>
        <v>Yes</v>
      </c>
      <c r="AD44" s="22" t="str">
        <f>IF('Raw Scores (0-1)'!AD44=1,"Yes",IF('Raw Scores (0-1)'!AD44=0.5,"Partial","No"))</f>
        <v>Yes</v>
      </c>
      <c r="AE44" s="22" t="str">
        <f>IF('Raw Scores (0-1)'!AE44=1,"Yes",IF('Raw Scores (0-1)'!AE44=0.5,"Partial","No"))</f>
        <v>Yes</v>
      </c>
      <c r="AF44" s="22" t="str">
        <f>IF('Raw Scores (0-1)'!AF44=1,"Yes",IF('Raw Scores (0-1)'!AF44=0.5,"Partial","No"))</f>
        <v>Yes</v>
      </c>
      <c r="AG44" s="22" t="str">
        <f>IF('Raw Scores (0-1)'!AG44=1,"Yes",IF('Raw Scores (0-1)'!AG44=0.5,"Partial","No"))</f>
        <v>Yes</v>
      </c>
      <c r="AH44" s="22" t="str">
        <f>IF('Raw Scores (0-1)'!AH44=1,"Yes",IF('Raw Scores (0-1)'!AH44=0.5,"Partial","No"))</f>
        <v>Yes</v>
      </c>
      <c r="AI44" s="22" t="str">
        <f>IF('Raw Scores (0-1)'!AI44=1,"Yes",IF('Raw Scores (0-1)'!AI44=0.5,"Partial","No"))</f>
        <v>Yes</v>
      </c>
      <c r="AJ44" s="22" t="str">
        <f>IF('Raw Scores (0-1)'!AJ44=1,"Yes",IF('Raw Scores (0-1)'!AJ44=0.5,"Partial","No"))</f>
        <v>Partial</v>
      </c>
      <c r="AK44" s="20">
        <f>'Scores &amp; Ranking'!F44</f>
        <v>42.5</v>
      </c>
      <c r="AL44" s="20">
        <f>'Scores &amp; Ranking'!G44</f>
        <v>20</v>
      </c>
      <c r="AM44" s="20">
        <f>'Scores &amp; Ranking'!H44</f>
        <v>10</v>
      </c>
      <c r="AN44" s="20">
        <f>'Scores &amp; Ranking'!I44</f>
        <v>10</v>
      </c>
      <c r="AO44" s="20">
        <f>'Scores &amp; Ranking'!J44</f>
        <v>8.5</v>
      </c>
      <c r="AP44" s="23">
        <f>'Scores &amp; Ranking'!K44</f>
        <v>91</v>
      </c>
    </row>
    <row r="45" ht="15.75" customHeight="1">
      <c r="A45" s="12">
        <v>44.0</v>
      </c>
      <c r="B45" s="6" t="s">
        <v>226</v>
      </c>
      <c r="C45" s="12" t="s">
        <v>227</v>
      </c>
      <c r="D45" s="12" t="s">
        <v>228</v>
      </c>
      <c r="E45" s="3" t="s">
        <v>229</v>
      </c>
      <c r="F45" s="22" t="str">
        <f>IF('Raw Scores (0-1)'!F45=1,"Yes",IF('Raw Scores (0-1)'!F45=0.5,"Partial","No"))</f>
        <v>Partial</v>
      </c>
      <c r="G45" s="22" t="str">
        <f>IF('Raw Scores (0-1)'!G45=1,"Yes",IF('Raw Scores (0-1)'!G45=0.5,"Partial","No"))</f>
        <v>No</v>
      </c>
      <c r="H45" s="22" t="str">
        <f>IF('Raw Scores (0-1)'!H45=1,"Yes",IF('Raw Scores (0-1)'!H45=0.5,"Partial","No"))</f>
        <v>Partial</v>
      </c>
      <c r="I45" s="22" t="str">
        <f>IF('Raw Scores (0-1)'!I45=1,"Yes",IF('Raw Scores (0-1)'!I45=0.5,"Partial","No"))</f>
        <v>Partial</v>
      </c>
      <c r="J45" s="22" t="str">
        <f>IF('Raw Scores (0-1)'!J45=1,"Yes",IF('Raw Scores (0-1)'!J45=0.5,"Partial","No"))</f>
        <v>No</v>
      </c>
      <c r="K45" s="22" t="str">
        <f>IF('Raw Scores (0-1)'!K45=1,"Yes",IF('Raw Scores (0-1)'!K45=0.5,"Partial","No"))</f>
        <v>No</v>
      </c>
      <c r="L45" s="22" t="str">
        <f>IF('Raw Scores (0-1)'!L45=1,"Yes",IF('Raw Scores (0-1)'!L45=0.5,"Partial","No"))</f>
        <v>Partial</v>
      </c>
      <c r="M45" s="22" t="str">
        <f>IF('Raw Scores (0-1)'!M45=1,"Yes",IF('Raw Scores (0-1)'!M45=0.5,"Partial","No"))</f>
        <v>No</v>
      </c>
      <c r="N45" s="22" t="str">
        <f>IF('Raw Scores (0-1)'!N45=1,"Yes",IF('Raw Scores (0-1)'!N45=0.5,"Partial","No"))</f>
        <v>Yes</v>
      </c>
      <c r="O45" s="22" t="str">
        <f>IF('Raw Scores (0-1)'!O45=1,"Yes",IF('Raw Scores (0-1)'!O45=0.5,"Partial","No"))</f>
        <v>Yes</v>
      </c>
      <c r="P45" s="22" t="str">
        <f>IF('Raw Scores (0-1)'!P45=1,"Yes",IF('Raw Scores (0-1)'!P45=0.5,"Partial","No"))</f>
        <v>Yes</v>
      </c>
      <c r="Q45" s="22" t="str">
        <f>IF('Raw Scores (0-1)'!Q45=1,"Yes",IF('Raw Scores (0-1)'!Q45=0.5,"Partial","No"))</f>
        <v>No</v>
      </c>
      <c r="R45" s="22" t="str">
        <f>IF('Raw Scores (0-1)'!R45=1,"Yes",IF('Raw Scores (0-1)'!R45=0.5,"Partial","No"))</f>
        <v>Yes</v>
      </c>
      <c r="S45" s="22" t="str">
        <f>IF('Raw Scores (0-1)'!S45=1,"Yes",IF('Raw Scores (0-1)'!S45=0.5,"Partial","No"))</f>
        <v>Yes</v>
      </c>
      <c r="T45" s="22" t="str">
        <f>IF('Raw Scores (0-1)'!T45=1,"Yes",IF('Raw Scores (0-1)'!T45=0.5,"Partial","No"))</f>
        <v>Yes</v>
      </c>
      <c r="U45" s="22" t="str">
        <f>IF('Raw Scores (0-1)'!U45=1,"Yes",IF('Raw Scores (0-1)'!U45=0.5,"Partial","No"))</f>
        <v>Yes</v>
      </c>
      <c r="V45" s="22" t="str">
        <f>IF('Raw Scores (0-1)'!V45=1,"Yes",IF('Raw Scores (0-1)'!V45=0.5,"Partial","No"))</f>
        <v>Yes</v>
      </c>
      <c r="W45" s="22" t="str">
        <f>IF('Raw Scores (0-1)'!W45=1,"Yes",IF('Raw Scores (0-1)'!W45=0.5,"Partial","No"))</f>
        <v>Yes</v>
      </c>
      <c r="X45" s="22" t="str">
        <f>IF('Raw Scores (0-1)'!X45=1,"Yes",IF('Raw Scores (0-1)'!X45=0.5,"Partial","No"))</f>
        <v>Yes</v>
      </c>
      <c r="Y45" s="22" t="str">
        <f>IF('Raw Scores (0-1)'!Y45=1,"Yes",IF('Raw Scores (0-1)'!Y45=0.5,"Partial","No"))</f>
        <v>Yes</v>
      </c>
      <c r="Z45" s="22" t="str">
        <f>IF('Raw Scores (0-1)'!Z45=1,"Yes",IF('Raw Scores (0-1)'!Z45=0.5,"Partial","No"))</f>
        <v>Yes</v>
      </c>
      <c r="AA45" s="22" t="str">
        <f>IF('Raw Scores (0-1)'!AA45=1,"Yes",IF('Raw Scores (0-1)'!AA45=0.5,"Partial","No"))</f>
        <v>Yes</v>
      </c>
      <c r="AB45" s="22" t="str">
        <f>IF('Raw Scores (0-1)'!AB45=1,"Yes",IF('Raw Scores (0-1)'!AB45=0.5,"Partial","No"))</f>
        <v>Yes</v>
      </c>
      <c r="AC45" s="22" t="str">
        <f>IF('Raw Scores (0-1)'!AC45=1,"Yes",IF('Raw Scores (0-1)'!AC45=0.5,"Partial","No"))</f>
        <v>Yes</v>
      </c>
      <c r="AD45" s="22" t="str">
        <f>IF('Raw Scores (0-1)'!AD45=1,"Yes",IF('Raw Scores (0-1)'!AD45=0.5,"Partial","No"))</f>
        <v>Yes</v>
      </c>
      <c r="AE45" s="22" t="str">
        <f>IF('Raw Scores (0-1)'!AE45=1,"Yes",IF('Raw Scores (0-1)'!AE45=0.5,"Partial","No"))</f>
        <v>Yes</v>
      </c>
      <c r="AF45" s="22" t="str">
        <f>IF('Raw Scores (0-1)'!AF45=1,"Yes",IF('Raw Scores (0-1)'!AF45=0.5,"Partial","No"))</f>
        <v>Yes</v>
      </c>
      <c r="AG45" s="22" t="str">
        <f>IF('Raw Scores (0-1)'!AG45=1,"Yes",IF('Raw Scores (0-1)'!AG45=0.5,"Partial","No"))</f>
        <v>Partial</v>
      </c>
      <c r="AH45" s="22" t="str">
        <f>IF('Raw Scores (0-1)'!AH45=1,"Yes",IF('Raw Scores (0-1)'!AH45=0.5,"Partial","No"))</f>
        <v>Yes</v>
      </c>
      <c r="AI45" s="22" t="str">
        <f>IF('Raw Scores (0-1)'!AI45=1,"Yes",IF('Raw Scores (0-1)'!AI45=0.5,"Partial","No"))</f>
        <v>Yes</v>
      </c>
      <c r="AJ45" s="22" t="str">
        <f>IF('Raw Scores (0-1)'!AJ45=1,"Yes",IF('Raw Scores (0-1)'!AJ45=0.5,"Partial","No"))</f>
        <v>No</v>
      </c>
      <c r="AK45" s="20">
        <f>'Scores &amp; Ranking'!F45</f>
        <v>15</v>
      </c>
      <c r="AL45" s="20">
        <f>'Scores &amp; Ranking'!G45</f>
        <v>18</v>
      </c>
      <c r="AM45" s="20">
        <f>'Scores &amp; Ranking'!H45</f>
        <v>10</v>
      </c>
      <c r="AN45" s="20">
        <f>'Scores &amp; Ranking'!I45</f>
        <v>8.5</v>
      </c>
      <c r="AO45" s="20">
        <f>'Scores &amp; Ranking'!J45</f>
        <v>7</v>
      </c>
      <c r="AP45" s="23">
        <f>'Scores &amp; Ranking'!K45</f>
        <v>58.5</v>
      </c>
    </row>
    <row r="46" ht="15.75" customHeight="1">
      <c r="A46" s="12">
        <v>45.0</v>
      </c>
      <c r="B46" s="6" t="s">
        <v>230</v>
      </c>
      <c r="C46" s="12" t="s">
        <v>119</v>
      </c>
      <c r="D46" s="12" t="s">
        <v>231</v>
      </c>
      <c r="E46" s="3" t="s">
        <v>232</v>
      </c>
      <c r="F46" s="22" t="str">
        <f>IF('Raw Scores (0-1)'!F46=1,"Yes",IF('Raw Scores (0-1)'!F46=0.5,"Partial","No"))</f>
        <v>No</v>
      </c>
      <c r="G46" s="22" t="str">
        <f>IF('Raw Scores (0-1)'!G46=1,"Yes",IF('Raw Scores (0-1)'!G46=0.5,"Partial","No"))</f>
        <v>No</v>
      </c>
      <c r="H46" s="22" t="str">
        <f>IF('Raw Scores (0-1)'!H46=1,"Yes",IF('Raw Scores (0-1)'!H46=0.5,"Partial","No"))</f>
        <v>No</v>
      </c>
      <c r="I46" s="22" t="str">
        <f>IF('Raw Scores (0-1)'!I46=1,"Yes",IF('Raw Scores (0-1)'!I46=0.5,"Partial","No"))</f>
        <v>No</v>
      </c>
      <c r="J46" s="22" t="str">
        <f>IF('Raw Scores (0-1)'!J46=1,"Yes",IF('Raw Scores (0-1)'!J46=0.5,"Partial","No"))</f>
        <v>Yes</v>
      </c>
      <c r="K46" s="22" t="str">
        <f>IF('Raw Scores (0-1)'!K46=1,"Yes",IF('Raw Scores (0-1)'!K46=0.5,"Partial","No"))</f>
        <v>Partial</v>
      </c>
      <c r="L46" s="22" t="str">
        <f>IF('Raw Scores (0-1)'!L46=1,"Yes",IF('Raw Scores (0-1)'!L46=0.5,"Partial","No"))</f>
        <v>No</v>
      </c>
      <c r="M46" s="22" t="str">
        <f>IF('Raw Scores (0-1)'!M46=1,"Yes",IF('Raw Scores (0-1)'!M46=0.5,"Partial","No"))</f>
        <v>No</v>
      </c>
      <c r="N46" s="22" t="str">
        <f>IF('Raw Scores (0-1)'!N46=1,"Yes",IF('Raw Scores (0-1)'!N46=0.5,"Partial","No"))</f>
        <v>Yes</v>
      </c>
      <c r="O46" s="22" t="str">
        <f>IF('Raw Scores (0-1)'!O46=1,"Yes",IF('Raw Scores (0-1)'!O46=0.5,"Partial","No"))</f>
        <v>Yes</v>
      </c>
      <c r="P46" s="22" t="str">
        <f>IF('Raw Scores (0-1)'!P46=1,"Yes",IF('Raw Scores (0-1)'!P46=0.5,"Partial","No"))</f>
        <v>Yes</v>
      </c>
      <c r="Q46" s="22" t="str">
        <f>IF('Raw Scores (0-1)'!Q46=1,"Yes",IF('Raw Scores (0-1)'!Q46=0.5,"Partial","No"))</f>
        <v>Yes</v>
      </c>
      <c r="R46" s="22" t="str">
        <f>IF('Raw Scores (0-1)'!R46=1,"Yes",IF('Raw Scores (0-1)'!R46=0.5,"Partial","No"))</f>
        <v>Yes</v>
      </c>
      <c r="S46" s="22" t="str">
        <f>IF('Raw Scores (0-1)'!S46=1,"Yes",IF('Raw Scores (0-1)'!S46=0.5,"Partial","No"))</f>
        <v>Yes</v>
      </c>
      <c r="T46" s="22" t="str">
        <f>IF('Raw Scores (0-1)'!T46=1,"Yes",IF('Raw Scores (0-1)'!T46=0.5,"Partial","No"))</f>
        <v>Yes</v>
      </c>
      <c r="U46" s="22" t="str">
        <f>IF('Raw Scores (0-1)'!U46=1,"Yes",IF('Raw Scores (0-1)'!U46=0.5,"Partial","No"))</f>
        <v>Yes</v>
      </c>
      <c r="V46" s="22" t="str">
        <f>IF('Raw Scores (0-1)'!V46=1,"Yes",IF('Raw Scores (0-1)'!V46=0.5,"Partial","No"))</f>
        <v>Yes</v>
      </c>
      <c r="W46" s="22" t="str">
        <f>IF('Raw Scores (0-1)'!W46=1,"Yes",IF('Raw Scores (0-1)'!W46=0.5,"Partial","No"))</f>
        <v>Yes</v>
      </c>
      <c r="X46" s="22" t="str">
        <f>IF('Raw Scores (0-1)'!X46=1,"Yes",IF('Raw Scores (0-1)'!X46=0.5,"Partial","No"))</f>
        <v>Yes</v>
      </c>
      <c r="Y46" s="22" t="str">
        <f>IF('Raw Scores (0-1)'!Y46=1,"Yes",IF('Raw Scores (0-1)'!Y46=0.5,"Partial","No"))</f>
        <v>Yes</v>
      </c>
      <c r="Z46" s="22" t="str">
        <f>IF('Raw Scores (0-1)'!Z46=1,"Yes",IF('Raw Scores (0-1)'!Z46=0.5,"Partial","No"))</f>
        <v>Yes</v>
      </c>
      <c r="AA46" s="22" t="str">
        <f>IF('Raw Scores (0-1)'!AA46=1,"Yes",IF('Raw Scores (0-1)'!AA46=0.5,"Partial","No"))</f>
        <v>Yes</v>
      </c>
      <c r="AB46" s="22" t="str">
        <f>IF('Raw Scores (0-1)'!AB46=1,"Yes",IF('Raw Scores (0-1)'!AB46=0.5,"Partial","No"))</f>
        <v>Yes</v>
      </c>
      <c r="AC46" s="22" t="str">
        <f>IF('Raw Scores (0-1)'!AC46=1,"Yes",IF('Raw Scores (0-1)'!AC46=0.5,"Partial","No"))</f>
        <v>Yes</v>
      </c>
      <c r="AD46" s="22" t="str">
        <f>IF('Raw Scores (0-1)'!AD46=1,"Yes",IF('Raw Scores (0-1)'!AD46=0.5,"Partial","No"))</f>
        <v>Yes</v>
      </c>
      <c r="AE46" s="22" t="str">
        <f>IF('Raw Scores (0-1)'!AE46=1,"Yes",IF('Raw Scores (0-1)'!AE46=0.5,"Partial","No"))</f>
        <v>Yes</v>
      </c>
      <c r="AF46" s="22" t="str">
        <f>IF('Raw Scores (0-1)'!AF46=1,"Yes",IF('Raw Scores (0-1)'!AF46=0.5,"Partial","No"))</f>
        <v>Yes</v>
      </c>
      <c r="AG46" s="22" t="str">
        <f>IF('Raw Scores (0-1)'!AG46=1,"Yes",IF('Raw Scores (0-1)'!AG46=0.5,"Partial","No"))</f>
        <v>Partial</v>
      </c>
      <c r="AH46" s="22" t="str">
        <f>IF('Raw Scores (0-1)'!AH46=1,"Yes",IF('Raw Scores (0-1)'!AH46=0.5,"Partial","No"))</f>
        <v>Yes</v>
      </c>
      <c r="AI46" s="22" t="str">
        <f>IF('Raw Scores (0-1)'!AI46=1,"Yes",IF('Raw Scores (0-1)'!AI46=0.5,"Partial","No"))</f>
        <v>Partial</v>
      </c>
      <c r="AJ46" s="22" t="str">
        <f>IF('Raw Scores (0-1)'!AJ46=1,"Yes",IF('Raw Scores (0-1)'!AJ46=0.5,"Partial","No"))</f>
        <v>No</v>
      </c>
      <c r="AK46" s="20">
        <f>'Scores &amp; Ranking'!F46</f>
        <v>7.5</v>
      </c>
      <c r="AL46" s="20">
        <f>'Scores &amp; Ranking'!G46</f>
        <v>20</v>
      </c>
      <c r="AM46" s="20">
        <f>'Scores &amp; Ranking'!H46</f>
        <v>10</v>
      </c>
      <c r="AN46" s="20">
        <f>'Scores &amp; Ranking'!I46</f>
        <v>8.5</v>
      </c>
      <c r="AO46" s="20">
        <f>'Scores &amp; Ranking'!J46</f>
        <v>5</v>
      </c>
      <c r="AP46" s="23">
        <f>'Scores &amp; Ranking'!K46</f>
        <v>51</v>
      </c>
    </row>
    <row r="47" ht="15.75" customHeight="1">
      <c r="A47" s="12">
        <v>46.0</v>
      </c>
      <c r="B47" s="6" t="s">
        <v>233</v>
      </c>
      <c r="C47" s="12" t="s">
        <v>119</v>
      </c>
      <c r="D47" s="12" t="s">
        <v>234</v>
      </c>
      <c r="E47" s="3" t="s">
        <v>235</v>
      </c>
      <c r="F47" s="22" t="str">
        <f>IF('Raw Scores (0-1)'!F47=1,"Yes",IF('Raw Scores (0-1)'!F47=0.5,"Partial","No"))</f>
        <v>No</v>
      </c>
      <c r="G47" s="22" t="str">
        <f>IF('Raw Scores (0-1)'!G47=1,"Yes",IF('Raw Scores (0-1)'!G47=0.5,"Partial","No"))</f>
        <v>No</v>
      </c>
      <c r="H47" s="22" t="str">
        <f>IF('Raw Scores (0-1)'!H47=1,"Yes",IF('Raw Scores (0-1)'!H47=0.5,"Partial","No"))</f>
        <v>No</v>
      </c>
      <c r="I47" s="22" t="str">
        <f>IF('Raw Scores (0-1)'!I47=1,"Yes",IF('Raw Scores (0-1)'!I47=0.5,"Partial","No"))</f>
        <v>No</v>
      </c>
      <c r="J47" s="22" t="str">
        <f>IF('Raw Scores (0-1)'!J47=1,"Yes",IF('Raw Scores (0-1)'!J47=0.5,"Partial","No"))</f>
        <v>Yes</v>
      </c>
      <c r="K47" s="22" t="str">
        <f>IF('Raw Scores (0-1)'!K47=1,"Yes",IF('Raw Scores (0-1)'!K47=0.5,"Partial","No"))</f>
        <v>Partial</v>
      </c>
      <c r="L47" s="22" t="str">
        <f>IF('Raw Scores (0-1)'!L47=1,"Yes",IF('Raw Scores (0-1)'!L47=0.5,"Partial","No"))</f>
        <v>No</v>
      </c>
      <c r="M47" s="22" t="str">
        <f>IF('Raw Scores (0-1)'!M47=1,"Yes",IF('Raw Scores (0-1)'!M47=0.5,"Partial","No"))</f>
        <v>No</v>
      </c>
      <c r="N47" s="22" t="str">
        <f>IF('Raw Scores (0-1)'!N47=1,"Yes",IF('Raw Scores (0-1)'!N47=0.5,"Partial","No"))</f>
        <v>Yes</v>
      </c>
      <c r="O47" s="22" t="str">
        <f>IF('Raw Scores (0-1)'!O47=1,"Yes",IF('Raw Scores (0-1)'!O47=0.5,"Partial","No"))</f>
        <v>Yes</v>
      </c>
      <c r="P47" s="22" t="str">
        <f>IF('Raw Scores (0-1)'!P47=1,"Yes",IF('Raw Scores (0-1)'!P47=0.5,"Partial","No"))</f>
        <v>Yes</v>
      </c>
      <c r="Q47" s="22" t="str">
        <f>IF('Raw Scores (0-1)'!Q47=1,"Yes",IF('Raw Scores (0-1)'!Q47=0.5,"Partial","No"))</f>
        <v>No</v>
      </c>
      <c r="R47" s="22" t="str">
        <f>IF('Raw Scores (0-1)'!R47=1,"Yes",IF('Raw Scores (0-1)'!R47=0.5,"Partial","No"))</f>
        <v>Yes</v>
      </c>
      <c r="S47" s="22" t="str">
        <f>IF('Raw Scores (0-1)'!S47=1,"Yes",IF('Raw Scores (0-1)'!S47=0.5,"Partial","No"))</f>
        <v>No</v>
      </c>
      <c r="T47" s="22" t="str">
        <f>IF('Raw Scores (0-1)'!T47=1,"Yes",IF('Raw Scores (0-1)'!T47=0.5,"Partial","No"))</f>
        <v>Yes</v>
      </c>
      <c r="U47" s="22" t="str">
        <f>IF('Raw Scores (0-1)'!U47=1,"Yes",IF('Raw Scores (0-1)'!U47=0.5,"Partial","No"))</f>
        <v>Yes</v>
      </c>
      <c r="V47" s="22" t="str">
        <f>IF('Raw Scores (0-1)'!V47=1,"Yes",IF('Raw Scores (0-1)'!V47=0.5,"Partial","No"))</f>
        <v>Partial</v>
      </c>
      <c r="W47" s="22" t="str">
        <f>IF('Raw Scores (0-1)'!W47=1,"Yes",IF('Raw Scores (0-1)'!W47=0.5,"Partial","No"))</f>
        <v>Yes</v>
      </c>
      <c r="X47" s="22" t="str">
        <f>IF('Raw Scores (0-1)'!X47=1,"Yes",IF('Raw Scores (0-1)'!X47=0.5,"Partial","No"))</f>
        <v>No</v>
      </c>
      <c r="Y47" s="22" t="str">
        <f>IF('Raw Scores (0-1)'!Y47=1,"Yes",IF('Raw Scores (0-1)'!Y47=0.5,"Partial","No"))</f>
        <v>No</v>
      </c>
      <c r="Z47" s="22" t="str">
        <f>IF('Raw Scores (0-1)'!Z47=1,"Yes",IF('Raw Scores (0-1)'!Z47=0.5,"Partial","No"))</f>
        <v>No</v>
      </c>
      <c r="AA47" s="22" t="str">
        <f>IF('Raw Scores (0-1)'!AA47=1,"Yes",IF('Raw Scores (0-1)'!AA47=0.5,"Partial","No"))</f>
        <v>No</v>
      </c>
      <c r="AB47" s="22" t="str">
        <f>IF('Raw Scores (0-1)'!AB47=1,"Yes",IF('Raw Scores (0-1)'!AB47=0.5,"Partial","No"))</f>
        <v>No</v>
      </c>
      <c r="AC47" s="22" t="str">
        <f>IF('Raw Scores (0-1)'!AC47=1,"Yes",IF('Raw Scores (0-1)'!AC47=0.5,"Partial","No"))</f>
        <v>Yes</v>
      </c>
      <c r="AD47" s="22" t="str">
        <f>IF('Raw Scores (0-1)'!AD47=1,"Yes",IF('Raw Scores (0-1)'!AD47=0.5,"Partial","No"))</f>
        <v>Yes</v>
      </c>
      <c r="AE47" s="22" t="str">
        <f>IF('Raw Scores (0-1)'!AE47=1,"Yes",IF('Raw Scores (0-1)'!AE47=0.5,"Partial","No"))</f>
        <v>Yes</v>
      </c>
      <c r="AF47" s="22" t="str">
        <f>IF('Raw Scores (0-1)'!AF47=1,"Yes",IF('Raw Scores (0-1)'!AF47=0.5,"Partial","No"))</f>
        <v>Yes</v>
      </c>
      <c r="AG47" s="22" t="str">
        <f>IF('Raw Scores (0-1)'!AG47=1,"Yes",IF('Raw Scores (0-1)'!AG47=0.5,"Partial","No"))</f>
        <v>Partial</v>
      </c>
      <c r="AH47" s="22" t="str">
        <f>IF('Raw Scores (0-1)'!AH47=1,"Yes",IF('Raw Scores (0-1)'!AH47=0.5,"Partial","No"))</f>
        <v>Yes</v>
      </c>
      <c r="AI47" s="22" t="str">
        <f>IF('Raw Scores (0-1)'!AI47=1,"Yes",IF('Raw Scores (0-1)'!AI47=0.5,"Partial","No"))</f>
        <v>Yes</v>
      </c>
      <c r="AJ47" s="22" t="str">
        <f>IF('Raw Scores (0-1)'!AJ47=1,"Yes",IF('Raw Scores (0-1)'!AJ47=0.5,"Partial","No"))</f>
        <v>Partial</v>
      </c>
      <c r="AK47" s="20">
        <f>'Scores &amp; Ranking'!F47</f>
        <v>7.5</v>
      </c>
      <c r="AL47" s="20">
        <f>'Scores &amp; Ranking'!G47</f>
        <v>15</v>
      </c>
      <c r="AM47" s="20">
        <f>'Scores &amp; Ranking'!H47</f>
        <v>0</v>
      </c>
      <c r="AN47" s="20">
        <f>'Scores &amp; Ranking'!I47</f>
        <v>8.5</v>
      </c>
      <c r="AO47" s="20">
        <f>'Scores &amp; Ranking'!J47</f>
        <v>8.5</v>
      </c>
      <c r="AP47" s="23">
        <f>'Scores &amp; Ranking'!K47</f>
        <v>39.5</v>
      </c>
    </row>
    <row r="48" ht="15.75" customHeight="1">
      <c r="A48" s="12">
        <v>47.0</v>
      </c>
      <c r="B48" s="6" t="s">
        <v>236</v>
      </c>
      <c r="C48" s="12" t="s">
        <v>119</v>
      </c>
      <c r="D48" s="12" t="s">
        <v>237</v>
      </c>
      <c r="E48" s="3" t="s">
        <v>238</v>
      </c>
      <c r="F48" s="22" t="str">
        <f>IF('Raw Scores (0-1)'!F48=1,"Yes",IF('Raw Scores (0-1)'!F48=0.5,"Partial","No"))</f>
        <v>No</v>
      </c>
      <c r="G48" s="22" t="str">
        <f>IF('Raw Scores (0-1)'!G48=1,"Yes",IF('Raw Scores (0-1)'!G48=0.5,"Partial","No"))</f>
        <v>No</v>
      </c>
      <c r="H48" s="22" t="str">
        <f>IF('Raw Scores (0-1)'!H48=1,"Yes",IF('Raw Scores (0-1)'!H48=0.5,"Partial","No"))</f>
        <v>No</v>
      </c>
      <c r="I48" s="22" t="str">
        <f>IF('Raw Scores (0-1)'!I48=1,"Yes",IF('Raw Scores (0-1)'!I48=0.5,"Partial","No"))</f>
        <v>No</v>
      </c>
      <c r="J48" s="22" t="str">
        <f>IF('Raw Scores (0-1)'!J48=1,"Yes",IF('Raw Scores (0-1)'!J48=0.5,"Partial","No"))</f>
        <v>Yes</v>
      </c>
      <c r="K48" s="22" t="str">
        <f>IF('Raw Scores (0-1)'!K48=1,"Yes",IF('Raw Scores (0-1)'!K48=0.5,"Partial","No"))</f>
        <v>Partial</v>
      </c>
      <c r="L48" s="22" t="str">
        <f>IF('Raw Scores (0-1)'!L48=1,"Yes",IF('Raw Scores (0-1)'!L48=0.5,"Partial","No"))</f>
        <v>No</v>
      </c>
      <c r="M48" s="22" t="str">
        <f>IF('Raw Scores (0-1)'!M48=1,"Yes",IF('Raw Scores (0-1)'!M48=0.5,"Partial","No"))</f>
        <v>No</v>
      </c>
      <c r="N48" s="22" t="str">
        <f>IF('Raw Scores (0-1)'!N48=1,"Yes",IF('Raw Scores (0-1)'!N48=0.5,"Partial","No"))</f>
        <v>Yes</v>
      </c>
      <c r="O48" s="22" t="str">
        <f>IF('Raw Scores (0-1)'!O48=1,"Yes",IF('Raw Scores (0-1)'!O48=0.5,"Partial","No"))</f>
        <v>Yes</v>
      </c>
      <c r="P48" s="22" t="str">
        <f>IF('Raw Scores (0-1)'!P48=1,"Yes",IF('Raw Scores (0-1)'!P48=0.5,"Partial","No"))</f>
        <v>Yes</v>
      </c>
      <c r="Q48" s="22" t="str">
        <f>IF('Raw Scores (0-1)'!Q48=1,"Yes",IF('Raw Scores (0-1)'!Q48=0.5,"Partial","No"))</f>
        <v>Partial</v>
      </c>
      <c r="R48" s="22" t="str">
        <f>IF('Raw Scores (0-1)'!R48=1,"Yes",IF('Raw Scores (0-1)'!R48=0.5,"Partial","No"))</f>
        <v>Yes</v>
      </c>
      <c r="S48" s="22" t="str">
        <f>IF('Raw Scores (0-1)'!S48=1,"Yes",IF('Raw Scores (0-1)'!S48=0.5,"Partial","No"))</f>
        <v>Yes</v>
      </c>
      <c r="T48" s="22" t="str">
        <f>IF('Raw Scores (0-1)'!T48=1,"Yes",IF('Raw Scores (0-1)'!T48=0.5,"Partial","No"))</f>
        <v>Yes</v>
      </c>
      <c r="U48" s="22" t="str">
        <f>IF('Raw Scores (0-1)'!U48=1,"Yes",IF('Raw Scores (0-1)'!U48=0.5,"Partial","No"))</f>
        <v>Yes</v>
      </c>
      <c r="V48" s="22" t="str">
        <f>IF('Raw Scores (0-1)'!V48=1,"Yes",IF('Raw Scores (0-1)'!V48=0.5,"Partial","No"))</f>
        <v>Partial</v>
      </c>
      <c r="W48" s="22" t="str">
        <f>IF('Raw Scores (0-1)'!W48=1,"Yes",IF('Raw Scores (0-1)'!W48=0.5,"Partial","No"))</f>
        <v>Yes</v>
      </c>
      <c r="X48" s="22" t="str">
        <f>IF('Raw Scores (0-1)'!X48=1,"Yes",IF('Raw Scores (0-1)'!X48=0.5,"Partial","No"))</f>
        <v>Yes</v>
      </c>
      <c r="Y48" s="22" t="str">
        <f>IF('Raw Scores (0-1)'!Y48=1,"Yes",IF('Raw Scores (0-1)'!Y48=0.5,"Partial","No"))</f>
        <v>Yes</v>
      </c>
      <c r="Z48" s="22" t="str">
        <f>IF('Raw Scores (0-1)'!Z48=1,"Yes",IF('Raw Scores (0-1)'!Z48=0.5,"Partial","No"))</f>
        <v>Yes</v>
      </c>
      <c r="AA48" s="22" t="str">
        <f>IF('Raw Scores (0-1)'!AA48=1,"Yes",IF('Raw Scores (0-1)'!AA48=0.5,"Partial","No"))</f>
        <v>Yes</v>
      </c>
      <c r="AB48" s="22" t="str">
        <f>IF('Raw Scores (0-1)'!AB48=1,"Yes",IF('Raw Scores (0-1)'!AB48=0.5,"Partial","No"))</f>
        <v>Yes</v>
      </c>
      <c r="AC48" s="22" t="str">
        <f>IF('Raw Scores (0-1)'!AC48=1,"Yes",IF('Raw Scores (0-1)'!AC48=0.5,"Partial","No"))</f>
        <v>Yes</v>
      </c>
      <c r="AD48" s="22" t="str">
        <f>IF('Raw Scores (0-1)'!AD48=1,"Yes",IF('Raw Scores (0-1)'!AD48=0.5,"Partial","No"))</f>
        <v>Yes</v>
      </c>
      <c r="AE48" s="22" t="str">
        <f>IF('Raw Scores (0-1)'!AE48=1,"Yes",IF('Raw Scores (0-1)'!AE48=0.5,"Partial","No"))</f>
        <v>Yes</v>
      </c>
      <c r="AF48" s="22" t="str">
        <f>IF('Raw Scores (0-1)'!AF48=1,"Yes",IF('Raw Scores (0-1)'!AF48=0.5,"Partial","No"))</f>
        <v>Partial</v>
      </c>
      <c r="AG48" s="22" t="str">
        <f>IF('Raw Scores (0-1)'!AG48=1,"Yes",IF('Raw Scores (0-1)'!AG48=0.5,"Partial","No"))</f>
        <v>Yes</v>
      </c>
      <c r="AH48" s="22" t="str">
        <f>IF('Raw Scores (0-1)'!AH48=1,"Yes",IF('Raw Scores (0-1)'!AH48=0.5,"Partial","No"))</f>
        <v>Partial</v>
      </c>
      <c r="AI48" s="22" t="str">
        <f>IF('Raw Scores (0-1)'!AI48=1,"Yes",IF('Raw Scores (0-1)'!AI48=0.5,"Partial","No"))</f>
        <v>Yes</v>
      </c>
      <c r="AJ48" s="22" t="str">
        <f>IF('Raw Scores (0-1)'!AJ48=1,"Yes",IF('Raw Scores (0-1)'!AJ48=0.5,"Partial","No"))</f>
        <v>No</v>
      </c>
      <c r="AK48" s="20">
        <f>'Scores &amp; Ranking'!F48</f>
        <v>7.5</v>
      </c>
      <c r="AL48" s="20">
        <f>'Scores &amp; Ranking'!G48</f>
        <v>18</v>
      </c>
      <c r="AM48" s="20">
        <f>'Scores &amp; Ranking'!H48</f>
        <v>10</v>
      </c>
      <c r="AN48" s="20">
        <f>'Scores &amp; Ranking'!I48</f>
        <v>9</v>
      </c>
      <c r="AO48" s="20">
        <f>'Scores &amp; Ranking'!J48</f>
        <v>5.5</v>
      </c>
      <c r="AP48" s="23">
        <f>'Scores &amp; Ranking'!K48</f>
        <v>50</v>
      </c>
    </row>
    <row r="49" ht="15.75" customHeight="1">
      <c r="A49" s="12">
        <v>48.0</v>
      </c>
      <c r="B49" s="6" t="s">
        <v>239</v>
      </c>
      <c r="C49" s="12" t="s">
        <v>240</v>
      </c>
      <c r="D49" s="12" t="s">
        <v>51</v>
      </c>
      <c r="E49" s="3" t="s">
        <v>241</v>
      </c>
      <c r="F49" s="22" t="str">
        <f>IF('Raw Scores (0-1)'!F49=1,"Yes",IF('Raw Scores (0-1)'!F49=0.5,"Partial","No"))</f>
        <v>No</v>
      </c>
      <c r="G49" s="22" t="str">
        <f>IF('Raw Scores (0-1)'!G49=1,"Yes",IF('Raw Scores (0-1)'!G49=0.5,"Partial","No"))</f>
        <v>No</v>
      </c>
      <c r="H49" s="22" t="str">
        <f>IF('Raw Scores (0-1)'!H49=1,"Yes",IF('Raw Scores (0-1)'!H49=0.5,"Partial","No"))</f>
        <v>No</v>
      </c>
      <c r="I49" s="22" t="str">
        <f>IF('Raw Scores (0-1)'!I49=1,"Yes",IF('Raw Scores (0-1)'!I49=0.5,"Partial","No"))</f>
        <v>No</v>
      </c>
      <c r="J49" s="22" t="str">
        <f>IF('Raw Scores (0-1)'!J49=1,"Yes",IF('Raw Scores (0-1)'!J49=0.5,"Partial","No"))</f>
        <v>Partial</v>
      </c>
      <c r="K49" s="22" t="str">
        <f>IF('Raw Scores (0-1)'!K49=1,"Yes",IF('Raw Scores (0-1)'!K49=0.5,"Partial","No"))</f>
        <v>No</v>
      </c>
      <c r="L49" s="22" t="str">
        <f>IF('Raw Scores (0-1)'!L49=1,"Yes",IF('Raw Scores (0-1)'!L49=0.5,"Partial","No"))</f>
        <v>No</v>
      </c>
      <c r="M49" s="22" t="str">
        <f>IF('Raw Scores (0-1)'!M49=1,"Yes",IF('Raw Scores (0-1)'!M49=0.5,"Partial","No"))</f>
        <v>No</v>
      </c>
      <c r="N49" s="22" t="str">
        <f>IF('Raw Scores (0-1)'!N49=1,"Yes",IF('Raw Scores (0-1)'!N49=0.5,"Partial","No"))</f>
        <v>Yes</v>
      </c>
      <c r="O49" s="22" t="str">
        <f>IF('Raw Scores (0-1)'!O49=1,"Yes",IF('Raw Scores (0-1)'!O49=0.5,"Partial","No"))</f>
        <v>Yes</v>
      </c>
      <c r="P49" s="22" t="str">
        <f>IF('Raw Scores (0-1)'!P49=1,"Yes",IF('Raw Scores (0-1)'!P49=0.5,"Partial","No"))</f>
        <v>Yes</v>
      </c>
      <c r="Q49" s="22" t="str">
        <f>IF('Raw Scores (0-1)'!Q49=1,"Yes",IF('Raw Scores (0-1)'!Q49=0.5,"Partial","No"))</f>
        <v>Yes</v>
      </c>
      <c r="R49" s="22" t="str">
        <f>IF('Raw Scores (0-1)'!R49=1,"Yes",IF('Raw Scores (0-1)'!R49=0.5,"Partial","No"))</f>
        <v>Yes</v>
      </c>
      <c r="S49" s="22" t="str">
        <f>IF('Raw Scores (0-1)'!S49=1,"Yes",IF('Raw Scores (0-1)'!S49=0.5,"Partial","No"))</f>
        <v>Yes</v>
      </c>
      <c r="T49" s="22" t="str">
        <f>IF('Raw Scores (0-1)'!T49=1,"Yes",IF('Raw Scores (0-1)'!T49=0.5,"Partial","No"))</f>
        <v>Yes</v>
      </c>
      <c r="U49" s="22" t="str">
        <f>IF('Raw Scores (0-1)'!U49=1,"Yes",IF('Raw Scores (0-1)'!U49=0.5,"Partial","No"))</f>
        <v>Yes</v>
      </c>
      <c r="V49" s="22" t="str">
        <f>IF('Raw Scores (0-1)'!V49=1,"Yes",IF('Raw Scores (0-1)'!V49=0.5,"Partial","No"))</f>
        <v>Yes</v>
      </c>
      <c r="W49" s="22" t="str">
        <f>IF('Raw Scores (0-1)'!W49=1,"Yes",IF('Raw Scores (0-1)'!W49=0.5,"Partial","No"))</f>
        <v>Yes</v>
      </c>
      <c r="X49" s="22" t="str">
        <f>IF('Raw Scores (0-1)'!X49=1,"Yes",IF('Raw Scores (0-1)'!X49=0.5,"Partial","No"))</f>
        <v>Yes</v>
      </c>
      <c r="Y49" s="22" t="str">
        <f>IF('Raw Scores (0-1)'!Y49=1,"Yes",IF('Raw Scores (0-1)'!Y49=0.5,"Partial","No"))</f>
        <v>Yes</v>
      </c>
      <c r="Z49" s="22" t="str">
        <f>IF('Raw Scores (0-1)'!Z49=1,"Yes",IF('Raw Scores (0-1)'!Z49=0.5,"Partial","No"))</f>
        <v>Yes</v>
      </c>
      <c r="AA49" s="22" t="str">
        <f>IF('Raw Scores (0-1)'!AA49=1,"Yes",IF('Raw Scores (0-1)'!AA49=0.5,"Partial","No"))</f>
        <v>Yes</v>
      </c>
      <c r="AB49" s="22" t="str">
        <f>IF('Raw Scores (0-1)'!AB49=1,"Yes",IF('Raw Scores (0-1)'!AB49=0.5,"Partial","No"))</f>
        <v>No</v>
      </c>
      <c r="AC49" s="22" t="str">
        <f>IF('Raw Scores (0-1)'!AC49=1,"Yes",IF('Raw Scores (0-1)'!AC49=0.5,"Partial","No"))</f>
        <v>Yes</v>
      </c>
      <c r="AD49" s="22" t="str">
        <f>IF('Raw Scores (0-1)'!AD49=1,"Yes",IF('Raw Scores (0-1)'!AD49=0.5,"Partial","No"))</f>
        <v>Yes</v>
      </c>
      <c r="AE49" s="22" t="str">
        <f>IF('Raw Scores (0-1)'!AE49=1,"Yes",IF('Raw Scores (0-1)'!AE49=0.5,"Partial","No"))</f>
        <v>No</v>
      </c>
      <c r="AF49" s="22" t="str">
        <f>IF('Raw Scores (0-1)'!AF49=1,"Yes",IF('Raw Scores (0-1)'!AF49=0.5,"Partial","No"))</f>
        <v>No</v>
      </c>
      <c r="AG49" s="22" t="str">
        <f>IF('Raw Scores (0-1)'!AG49=1,"Yes",IF('Raw Scores (0-1)'!AG49=0.5,"Partial","No"))</f>
        <v>No</v>
      </c>
      <c r="AH49" s="22" t="str">
        <f>IF('Raw Scores (0-1)'!AH49=1,"Yes",IF('Raw Scores (0-1)'!AH49=0.5,"Partial","No"))</f>
        <v>Yes</v>
      </c>
      <c r="AI49" s="22" t="str">
        <f>IF('Raw Scores (0-1)'!AI49=1,"Yes",IF('Raw Scores (0-1)'!AI49=0.5,"Partial","No"))</f>
        <v>Partial</v>
      </c>
      <c r="AJ49" s="22" t="str">
        <f>IF('Raw Scores (0-1)'!AJ49=1,"Yes",IF('Raw Scores (0-1)'!AJ49=0.5,"Partial","No"))</f>
        <v>No</v>
      </c>
      <c r="AK49" s="20">
        <f>'Scores &amp; Ranking'!F49</f>
        <v>2.5</v>
      </c>
      <c r="AL49" s="20">
        <f>'Scores &amp; Ranking'!G49</f>
        <v>20</v>
      </c>
      <c r="AM49" s="20">
        <f>'Scores &amp; Ranking'!H49</f>
        <v>8</v>
      </c>
      <c r="AN49" s="20">
        <f>'Scores &amp; Ranking'!I49</f>
        <v>3</v>
      </c>
      <c r="AO49" s="20">
        <f>'Scores &amp; Ranking'!J49</f>
        <v>5</v>
      </c>
      <c r="AP49" s="23">
        <f>'Scores &amp; Ranking'!K49</f>
        <v>38.5</v>
      </c>
    </row>
    <row r="50" ht="15.75" customHeight="1">
      <c r="A50" s="12">
        <v>49.0</v>
      </c>
      <c r="B50" s="6" t="s">
        <v>242</v>
      </c>
      <c r="C50" s="12" t="s">
        <v>243</v>
      </c>
      <c r="D50" s="12" t="s">
        <v>105</v>
      </c>
      <c r="E50" s="3" t="s">
        <v>244</v>
      </c>
      <c r="F50" s="22" t="str">
        <f>IF('Raw Scores (0-1)'!F50=1,"Yes",IF('Raw Scores (0-1)'!F50=0.5,"Partial","No"))</f>
        <v>No</v>
      </c>
      <c r="G50" s="22" t="str">
        <f>IF('Raw Scores (0-1)'!G50=1,"Yes",IF('Raw Scores (0-1)'!G50=0.5,"Partial","No"))</f>
        <v>No</v>
      </c>
      <c r="H50" s="22" t="str">
        <f>IF('Raw Scores (0-1)'!H50=1,"Yes",IF('Raw Scores (0-1)'!H50=0.5,"Partial","No"))</f>
        <v>No</v>
      </c>
      <c r="I50" s="22" t="str">
        <f>IF('Raw Scores (0-1)'!I50=1,"Yes",IF('Raw Scores (0-1)'!I50=0.5,"Partial","No"))</f>
        <v>No</v>
      </c>
      <c r="J50" s="22" t="str">
        <f>IF('Raw Scores (0-1)'!J50=1,"Yes",IF('Raw Scores (0-1)'!J50=0.5,"Partial","No"))</f>
        <v>No</v>
      </c>
      <c r="K50" s="22" t="str">
        <f>IF('Raw Scores (0-1)'!K50=1,"Yes",IF('Raw Scores (0-1)'!K50=0.5,"Partial","No"))</f>
        <v>No</v>
      </c>
      <c r="L50" s="22" t="str">
        <f>IF('Raw Scores (0-1)'!L50=1,"Yes",IF('Raw Scores (0-1)'!L50=0.5,"Partial","No"))</f>
        <v>No</v>
      </c>
      <c r="M50" s="22" t="str">
        <f>IF('Raw Scores (0-1)'!M50=1,"Yes",IF('Raw Scores (0-1)'!M50=0.5,"Partial","No"))</f>
        <v>No</v>
      </c>
      <c r="N50" s="22" t="str">
        <f>IF('Raw Scores (0-1)'!N50=1,"Yes",IF('Raw Scores (0-1)'!N50=0.5,"Partial","No"))</f>
        <v>Yes</v>
      </c>
      <c r="O50" s="22" t="str">
        <f>IF('Raw Scores (0-1)'!O50=1,"Yes",IF('Raw Scores (0-1)'!O50=0.5,"Partial","No"))</f>
        <v>Yes</v>
      </c>
      <c r="P50" s="22" t="str">
        <f>IF('Raw Scores (0-1)'!P50=1,"Yes",IF('Raw Scores (0-1)'!P50=0.5,"Partial","No"))</f>
        <v>Yes</v>
      </c>
      <c r="Q50" s="22" t="str">
        <f>IF('Raw Scores (0-1)'!Q50=1,"Yes",IF('Raw Scores (0-1)'!Q50=0.5,"Partial","No"))</f>
        <v>Partial</v>
      </c>
      <c r="R50" s="22" t="str">
        <f>IF('Raw Scores (0-1)'!R50=1,"Yes",IF('Raw Scores (0-1)'!R50=0.5,"Partial","No"))</f>
        <v>No</v>
      </c>
      <c r="S50" s="22" t="str">
        <f>IF('Raw Scores (0-1)'!S50=1,"Yes",IF('Raw Scores (0-1)'!S50=0.5,"Partial","No"))</f>
        <v>No</v>
      </c>
      <c r="T50" s="22" t="str">
        <f>IF('Raw Scores (0-1)'!T50=1,"Yes",IF('Raw Scores (0-1)'!T50=0.5,"Partial","No"))</f>
        <v>No</v>
      </c>
      <c r="U50" s="22" t="str">
        <f>IF('Raw Scores (0-1)'!U50=1,"Yes",IF('Raw Scores (0-1)'!U50=0.5,"Partial","No"))</f>
        <v>Yes</v>
      </c>
      <c r="V50" s="22" t="str">
        <f>IF('Raw Scores (0-1)'!V50=1,"Yes",IF('Raw Scores (0-1)'!V50=0.5,"Partial","No"))</f>
        <v>No</v>
      </c>
      <c r="W50" s="22" t="str">
        <f>IF('Raw Scores (0-1)'!W50=1,"Yes",IF('Raw Scores (0-1)'!W50=0.5,"Partial","No"))</f>
        <v>Yes</v>
      </c>
      <c r="X50" s="22" t="str">
        <f>IF('Raw Scores (0-1)'!X50=1,"Yes",IF('Raw Scores (0-1)'!X50=0.5,"Partial","No"))</f>
        <v>Yes</v>
      </c>
      <c r="Y50" s="22" t="str">
        <f>IF('Raw Scores (0-1)'!Y50=1,"Yes",IF('Raw Scores (0-1)'!Y50=0.5,"Partial","No"))</f>
        <v>No</v>
      </c>
      <c r="Z50" s="22" t="str">
        <f>IF('Raw Scores (0-1)'!Z50=1,"Yes",IF('Raw Scores (0-1)'!Z50=0.5,"Partial","No"))</f>
        <v>Partial</v>
      </c>
      <c r="AA50" s="22" t="str">
        <f>IF('Raw Scores (0-1)'!AA50=1,"Yes",IF('Raw Scores (0-1)'!AA50=0.5,"Partial","No"))</f>
        <v>No</v>
      </c>
      <c r="AB50" s="22" t="str">
        <f>IF('Raw Scores (0-1)'!AB50=1,"Yes",IF('Raw Scores (0-1)'!AB50=0.5,"Partial","No"))</f>
        <v>No</v>
      </c>
      <c r="AC50" s="22" t="str">
        <f>IF('Raw Scores (0-1)'!AC50=1,"Yes",IF('Raw Scores (0-1)'!AC50=0.5,"Partial","No"))</f>
        <v>Yes</v>
      </c>
      <c r="AD50" s="22" t="str">
        <f>IF('Raw Scores (0-1)'!AD50=1,"Yes",IF('Raw Scores (0-1)'!AD50=0.5,"Partial","No"))</f>
        <v>Yes</v>
      </c>
      <c r="AE50" s="22" t="str">
        <f>IF('Raw Scores (0-1)'!AE50=1,"Yes",IF('Raw Scores (0-1)'!AE50=0.5,"Partial","No"))</f>
        <v>No</v>
      </c>
      <c r="AF50" s="22" t="str">
        <f>IF('Raw Scores (0-1)'!AF50=1,"Yes",IF('Raw Scores (0-1)'!AF50=0.5,"Partial","No"))</f>
        <v>Yes</v>
      </c>
      <c r="AG50" s="22" t="str">
        <f>IF('Raw Scores (0-1)'!AG50=1,"Yes",IF('Raw Scores (0-1)'!AG50=0.5,"Partial","No"))</f>
        <v>No</v>
      </c>
      <c r="AH50" s="22" t="str">
        <f>IF('Raw Scores (0-1)'!AH50=1,"Yes",IF('Raw Scores (0-1)'!AH50=0.5,"Partial","No"))</f>
        <v>Yes</v>
      </c>
      <c r="AI50" s="22" t="str">
        <f>IF('Raw Scores (0-1)'!AI50=1,"Yes",IF('Raw Scores (0-1)'!AI50=0.5,"Partial","No"))</f>
        <v>No</v>
      </c>
      <c r="AJ50" s="22" t="str">
        <f>IF('Raw Scores (0-1)'!AJ50=1,"Yes",IF('Raw Scores (0-1)'!AJ50=0.5,"Partial","No"))</f>
        <v>No</v>
      </c>
      <c r="AK50" s="20">
        <f>'Scores &amp; Ranking'!F50</f>
        <v>0</v>
      </c>
      <c r="AL50" s="20">
        <f>'Scores &amp; Ranking'!G50</f>
        <v>11</v>
      </c>
      <c r="AM50" s="20">
        <f>'Scores &amp; Ranking'!H50</f>
        <v>3</v>
      </c>
      <c r="AN50" s="20">
        <f>'Scores &amp; Ranking'!I50</f>
        <v>5</v>
      </c>
      <c r="AO50" s="20">
        <f>'Scores &amp; Ranking'!J50</f>
        <v>3</v>
      </c>
      <c r="AP50" s="23">
        <f>'Scores &amp; Ranking'!K50</f>
        <v>22</v>
      </c>
    </row>
    <row r="51" ht="15.75" customHeight="1">
      <c r="A51" s="12">
        <v>50.0</v>
      </c>
      <c r="B51" s="6" t="s">
        <v>245</v>
      </c>
      <c r="C51" s="12" t="s">
        <v>246</v>
      </c>
      <c r="D51" s="12" t="s">
        <v>247</v>
      </c>
      <c r="E51" s="3" t="s">
        <v>248</v>
      </c>
      <c r="F51" s="22" t="str">
        <f>IF('Raw Scores (0-1)'!F51=1,"Yes",IF('Raw Scores (0-1)'!F51=0.5,"Partial","No"))</f>
        <v>Partial</v>
      </c>
      <c r="G51" s="22" t="str">
        <f>IF('Raw Scores (0-1)'!G51=1,"Yes",IF('Raw Scores (0-1)'!G51=0.5,"Partial","No"))</f>
        <v>No</v>
      </c>
      <c r="H51" s="22" t="str">
        <f>IF('Raw Scores (0-1)'!H51=1,"Yes",IF('Raw Scores (0-1)'!H51=0.5,"Partial","No"))</f>
        <v>No</v>
      </c>
      <c r="I51" s="22" t="str">
        <f>IF('Raw Scores (0-1)'!I51=1,"Yes",IF('Raw Scores (0-1)'!I51=0.5,"Partial","No"))</f>
        <v>No</v>
      </c>
      <c r="J51" s="22" t="str">
        <f>IF('Raw Scores (0-1)'!J51=1,"Yes",IF('Raw Scores (0-1)'!J51=0.5,"Partial","No"))</f>
        <v>No</v>
      </c>
      <c r="K51" s="22" t="str">
        <f>IF('Raw Scores (0-1)'!K51=1,"Yes",IF('Raw Scores (0-1)'!K51=0.5,"Partial","No"))</f>
        <v>No</v>
      </c>
      <c r="L51" s="22" t="str">
        <f>IF('Raw Scores (0-1)'!L51=1,"Yes",IF('Raw Scores (0-1)'!L51=0.5,"Partial","No"))</f>
        <v>No</v>
      </c>
      <c r="M51" s="22" t="str">
        <f>IF('Raw Scores (0-1)'!M51=1,"Yes",IF('Raw Scores (0-1)'!M51=0.5,"Partial","No"))</f>
        <v>No</v>
      </c>
      <c r="N51" s="22" t="str">
        <f>IF('Raw Scores (0-1)'!N51=1,"Yes",IF('Raw Scores (0-1)'!N51=0.5,"Partial","No"))</f>
        <v>Yes</v>
      </c>
      <c r="O51" s="22" t="str">
        <f>IF('Raw Scores (0-1)'!O51=1,"Yes",IF('Raw Scores (0-1)'!O51=0.5,"Partial","No"))</f>
        <v>Yes</v>
      </c>
      <c r="P51" s="22" t="str">
        <f>IF('Raw Scores (0-1)'!P51=1,"Yes",IF('Raw Scores (0-1)'!P51=0.5,"Partial","No"))</f>
        <v>Yes</v>
      </c>
      <c r="Q51" s="22" t="str">
        <f>IF('Raw Scores (0-1)'!Q51=1,"Yes",IF('Raw Scores (0-1)'!Q51=0.5,"Partial","No"))</f>
        <v>Yes</v>
      </c>
      <c r="R51" s="22" t="str">
        <f>IF('Raw Scores (0-1)'!R51=1,"Yes",IF('Raw Scores (0-1)'!R51=0.5,"Partial","No"))</f>
        <v>Yes</v>
      </c>
      <c r="S51" s="22" t="str">
        <f>IF('Raw Scores (0-1)'!S51=1,"Yes",IF('Raw Scores (0-1)'!S51=0.5,"Partial","No"))</f>
        <v>Yes</v>
      </c>
      <c r="T51" s="22" t="str">
        <f>IF('Raw Scores (0-1)'!T51=1,"Yes",IF('Raw Scores (0-1)'!T51=0.5,"Partial","No"))</f>
        <v>Partial</v>
      </c>
      <c r="U51" s="22" t="str">
        <f>IF('Raw Scores (0-1)'!U51=1,"Yes",IF('Raw Scores (0-1)'!U51=0.5,"Partial","No"))</f>
        <v>Yes</v>
      </c>
      <c r="V51" s="22" t="str">
        <f>IF('Raw Scores (0-1)'!V51=1,"Yes",IF('Raw Scores (0-1)'!V51=0.5,"Partial","No"))</f>
        <v>Partial</v>
      </c>
      <c r="W51" s="22" t="str">
        <f>IF('Raw Scores (0-1)'!W51=1,"Yes",IF('Raw Scores (0-1)'!W51=0.5,"Partial","No"))</f>
        <v>Yes</v>
      </c>
      <c r="X51" s="22" t="str">
        <f>IF('Raw Scores (0-1)'!X51=1,"Yes",IF('Raw Scores (0-1)'!X51=0.5,"Partial","No"))</f>
        <v>Yes</v>
      </c>
      <c r="Y51" s="22" t="str">
        <f>IF('Raw Scores (0-1)'!Y51=1,"Yes",IF('Raw Scores (0-1)'!Y51=0.5,"Partial","No"))</f>
        <v>Yes</v>
      </c>
      <c r="Z51" s="22" t="str">
        <f>IF('Raw Scores (0-1)'!Z51=1,"Yes",IF('Raw Scores (0-1)'!Z51=0.5,"Partial","No"))</f>
        <v>Yes</v>
      </c>
      <c r="AA51" s="22" t="str">
        <f>IF('Raw Scores (0-1)'!AA51=1,"Yes",IF('Raw Scores (0-1)'!AA51=0.5,"Partial","No"))</f>
        <v>Partial</v>
      </c>
      <c r="AB51" s="22" t="str">
        <f>IF('Raw Scores (0-1)'!AB51=1,"Yes",IF('Raw Scores (0-1)'!AB51=0.5,"Partial","No"))</f>
        <v>No</v>
      </c>
      <c r="AC51" s="22" t="str">
        <f>IF('Raw Scores (0-1)'!AC51=1,"Yes",IF('Raw Scores (0-1)'!AC51=0.5,"Partial","No"))</f>
        <v>Yes</v>
      </c>
      <c r="AD51" s="22" t="str">
        <f>IF('Raw Scores (0-1)'!AD51=1,"Yes",IF('Raw Scores (0-1)'!AD51=0.5,"Partial","No"))</f>
        <v>Yes</v>
      </c>
      <c r="AE51" s="22" t="str">
        <f>IF('Raw Scores (0-1)'!AE51=1,"Yes",IF('Raw Scores (0-1)'!AE51=0.5,"Partial","No"))</f>
        <v>Partial</v>
      </c>
      <c r="AF51" s="22" t="str">
        <f>IF('Raw Scores (0-1)'!AF51=1,"Yes",IF('Raw Scores (0-1)'!AF51=0.5,"Partial","No"))</f>
        <v>Yes</v>
      </c>
      <c r="AG51" s="22" t="str">
        <f>IF('Raw Scores (0-1)'!AG51=1,"Yes",IF('Raw Scores (0-1)'!AG51=0.5,"Partial","No"))</f>
        <v>Partial</v>
      </c>
      <c r="AH51" s="22" t="str">
        <f>IF('Raw Scores (0-1)'!AH51=1,"Yes",IF('Raw Scores (0-1)'!AH51=0.5,"Partial","No"))</f>
        <v>Yes</v>
      </c>
      <c r="AI51" s="22" t="str">
        <f>IF('Raw Scores (0-1)'!AI51=1,"Yes",IF('Raw Scores (0-1)'!AI51=0.5,"Partial","No"))</f>
        <v>Partial</v>
      </c>
      <c r="AJ51" s="22" t="str">
        <f>IF('Raw Scores (0-1)'!AJ51=1,"Yes",IF('Raw Scores (0-1)'!AJ51=0.5,"Partial","No"))</f>
        <v>No</v>
      </c>
      <c r="AK51" s="20">
        <f>'Scores &amp; Ranking'!F51</f>
        <v>7.5</v>
      </c>
      <c r="AL51" s="20">
        <f>'Scores &amp; Ranking'!G51</f>
        <v>18</v>
      </c>
      <c r="AM51" s="20">
        <f>'Scores &amp; Ranking'!H51</f>
        <v>7</v>
      </c>
      <c r="AN51" s="20">
        <f>'Scores &amp; Ranking'!I51</f>
        <v>7.5</v>
      </c>
      <c r="AO51" s="20">
        <f>'Scores &amp; Ranking'!J51</f>
        <v>5</v>
      </c>
      <c r="AP51" s="23">
        <f>'Scores &amp; Ranking'!K51</f>
        <v>45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20.0"/>
    <col customWidth="1" min="4" max="4" width="26.0"/>
    <col customWidth="1" min="5" max="5" width="42.0"/>
    <col customWidth="1" min="6" max="11" width="14.0"/>
    <col customWidth="1" min="12" max="26" width="8.71"/>
  </cols>
  <sheetData>
    <row r="1" ht="39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5" t="s">
        <v>8</v>
      </c>
      <c r="G1" s="7" t="s">
        <v>14</v>
      </c>
      <c r="H1" s="9" t="s">
        <v>20</v>
      </c>
      <c r="I1" s="10" t="s">
        <v>28</v>
      </c>
      <c r="J1" s="13" t="s">
        <v>32</v>
      </c>
      <c r="K1" s="15" t="s">
        <v>37</v>
      </c>
    </row>
    <row r="2">
      <c r="A2" s="12">
        <v>1.0</v>
      </c>
      <c r="B2" s="6" t="s">
        <v>47</v>
      </c>
      <c r="C2" s="12" t="s">
        <v>50</v>
      </c>
      <c r="D2" s="12" t="s">
        <v>51</v>
      </c>
      <c r="E2" s="3" t="s">
        <v>53</v>
      </c>
      <c r="F2" s="20">
        <f>SUMPRODUCT('Raw Scores (0-1)'!F2:M2,Methodology!F$50:M$50)</f>
        <v>27.5</v>
      </c>
      <c r="G2" s="20">
        <f>SUMPRODUCT('Raw Scores (0-1)'!N2:W2,Methodology!N$50:W$50)</f>
        <v>20</v>
      </c>
      <c r="H2" s="20">
        <f>SUMPRODUCT('Raw Scores (0-1)'!X2:AB2,Methodology!X$50:AB$50)</f>
        <v>10</v>
      </c>
      <c r="I2" s="20">
        <f>SUMPRODUCT('Raw Scores (0-1)'!AC2:AG2,Methodology!AC$50:AG$50)</f>
        <v>10</v>
      </c>
      <c r="J2" s="20">
        <f>SUMPRODUCT('Raw Scores (0-1)'!AH2:AJ2,Methodology!AH$50:AJ$50)</f>
        <v>1.5</v>
      </c>
      <c r="K2" s="23">
        <f t="shared" ref="K2:K51" si="1">SUM(F2:J2)</f>
        <v>69</v>
      </c>
    </row>
    <row r="3">
      <c r="A3" s="12">
        <v>2.0</v>
      </c>
      <c r="B3" s="6" t="s">
        <v>96</v>
      </c>
      <c r="C3" s="12" t="s">
        <v>50</v>
      </c>
      <c r="D3" s="12" t="s">
        <v>51</v>
      </c>
      <c r="E3" s="3" t="s">
        <v>97</v>
      </c>
      <c r="F3" s="20">
        <f>SUMPRODUCT('Raw Scores (0-1)'!F3:M3,Methodology!F$50:M$50)</f>
        <v>20</v>
      </c>
      <c r="G3" s="20">
        <f>SUMPRODUCT('Raw Scores (0-1)'!N3:W3,Methodology!N$50:W$50)</f>
        <v>20</v>
      </c>
      <c r="H3" s="20">
        <f>SUMPRODUCT('Raw Scores (0-1)'!X3:AB3,Methodology!X$50:AB$50)</f>
        <v>10</v>
      </c>
      <c r="I3" s="20">
        <f>SUMPRODUCT('Raw Scores (0-1)'!AC3:AG3,Methodology!AC$50:AG$50)</f>
        <v>10</v>
      </c>
      <c r="J3" s="20">
        <f>SUMPRODUCT('Raw Scores (0-1)'!AH3:AJ3,Methodology!AH$50:AJ$50)</f>
        <v>0</v>
      </c>
      <c r="K3" s="23">
        <f t="shared" si="1"/>
        <v>60</v>
      </c>
    </row>
    <row r="4">
      <c r="A4" s="12">
        <v>3.0</v>
      </c>
      <c r="B4" s="6" t="s">
        <v>98</v>
      </c>
      <c r="C4" s="12" t="s">
        <v>50</v>
      </c>
      <c r="D4" s="12" t="s">
        <v>99</v>
      </c>
      <c r="E4" s="3" t="s">
        <v>100</v>
      </c>
      <c r="F4" s="20">
        <f>SUMPRODUCT('Raw Scores (0-1)'!F4:M4,Methodology!F$50:M$50)</f>
        <v>22.5</v>
      </c>
      <c r="G4" s="20">
        <f>SUMPRODUCT('Raw Scores (0-1)'!N4:W4,Methodology!N$50:W$50)</f>
        <v>20</v>
      </c>
      <c r="H4" s="20">
        <f>SUMPRODUCT('Raw Scores (0-1)'!X4:AB4,Methodology!X$50:AB$50)</f>
        <v>10</v>
      </c>
      <c r="I4" s="20">
        <f>SUMPRODUCT('Raw Scores (0-1)'!AC4:AG4,Methodology!AC$50:AG$50)</f>
        <v>10</v>
      </c>
      <c r="J4" s="20">
        <f>SUMPRODUCT('Raw Scores (0-1)'!AH4:AJ4,Methodology!AH$50:AJ$50)</f>
        <v>7</v>
      </c>
      <c r="K4" s="23">
        <f t="shared" si="1"/>
        <v>69.5</v>
      </c>
    </row>
    <row r="5">
      <c r="A5" s="12">
        <v>4.0</v>
      </c>
      <c r="B5" s="6" t="s">
        <v>101</v>
      </c>
      <c r="C5" s="12" t="s">
        <v>50</v>
      </c>
      <c r="D5" s="12" t="s">
        <v>102</v>
      </c>
      <c r="E5" s="3" t="s">
        <v>103</v>
      </c>
      <c r="F5" s="20">
        <f>SUMPRODUCT('Raw Scores (0-1)'!F5:M5,Methodology!F$50:M$50)</f>
        <v>15</v>
      </c>
      <c r="G5" s="20">
        <f>SUMPRODUCT('Raw Scores (0-1)'!N5:W5,Methodology!N$50:W$50)</f>
        <v>20</v>
      </c>
      <c r="H5" s="20">
        <f>SUMPRODUCT('Raw Scores (0-1)'!X5:AB5,Methodology!X$50:AB$50)</f>
        <v>10</v>
      </c>
      <c r="I5" s="20">
        <f>SUMPRODUCT('Raw Scores (0-1)'!AC5:AG5,Methodology!AC$50:AG$50)</f>
        <v>3.5</v>
      </c>
      <c r="J5" s="20">
        <f>SUMPRODUCT('Raw Scores (0-1)'!AH5:AJ5,Methodology!AH$50:AJ$50)</f>
        <v>8.5</v>
      </c>
      <c r="K5" s="23">
        <f t="shared" si="1"/>
        <v>57</v>
      </c>
    </row>
    <row r="6">
      <c r="A6" s="12">
        <v>5.0</v>
      </c>
      <c r="B6" s="6" t="s">
        <v>104</v>
      </c>
      <c r="C6" s="12" t="s">
        <v>50</v>
      </c>
      <c r="D6" s="12" t="s">
        <v>105</v>
      </c>
      <c r="E6" s="3" t="s">
        <v>106</v>
      </c>
      <c r="F6" s="20">
        <f>SUMPRODUCT('Raw Scores (0-1)'!F6:M6,Methodology!F$50:M$50)</f>
        <v>15</v>
      </c>
      <c r="G6" s="20">
        <f>SUMPRODUCT('Raw Scores (0-1)'!N6:W6,Methodology!N$50:W$50)</f>
        <v>20</v>
      </c>
      <c r="H6" s="20">
        <f>SUMPRODUCT('Raw Scores (0-1)'!X6:AB6,Methodology!X$50:AB$50)</f>
        <v>2</v>
      </c>
      <c r="I6" s="20">
        <f>SUMPRODUCT('Raw Scores (0-1)'!AC6:AG6,Methodology!AC$50:AG$50)</f>
        <v>5</v>
      </c>
      <c r="J6" s="20">
        <f>SUMPRODUCT('Raw Scores (0-1)'!AH6:AJ6,Methodology!AH$50:AJ$50)</f>
        <v>5</v>
      </c>
      <c r="K6" s="23">
        <f t="shared" si="1"/>
        <v>47</v>
      </c>
    </row>
    <row r="7">
      <c r="A7" s="12">
        <v>6.0</v>
      </c>
      <c r="B7" s="6" t="s">
        <v>109</v>
      </c>
      <c r="C7" s="12" t="s">
        <v>50</v>
      </c>
      <c r="D7" s="12" t="s">
        <v>110</v>
      </c>
      <c r="E7" s="3" t="s">
        <v>111</v>
      </c>
      <c r="F7" s="20">
        <f>SUMPRODUCT('Raw Scores (0-1)'!F7:M7,Methodology!F$50:M$50)</f>
        <v>17.5</v>
      </c>
      <c r="G7" s="20">
        <f>SUMPRODUCT('Raw Scores (0-1)'!N7:W7,Methodology!N$50:W$50)</f>
        <v>19</v>
      </c>
      <c r="H7" s="20">
        <f>SUMPRODUCT('Raw Scores (0-1)'!X7:AB7,Methodology!X$50:AB$50)</f>
        <v>10</v>
      </c>
      <c r="I7" s="20">
        <f>SUMPRODUCT('Raw Scores (0-1)'!AC7:AG7,Methodology!AC$50:AG$50)</f>
        <v>8</v>
      </c>
      <c r="J7" s="20">
        <f>SUMPRODUCT('Raw Scores (0-1)'!AH7:AJ7,Methodology!AH$50:AJ$50)</f>
        <v>0</v>
      </c>
      <c r="K7" s="23">
        <f t="shared" si="1"/>
        <v>54.5</v>
      </c>
    </row>
    <row r="8">
      <c r="A8" s="12">
        <v>7.0</v>
      </c>
      <c r="B8" s="6" t="s">
        <v>112</v>
      </c>
      <c r="C8" s="12" t="s">
        <v>113</v>
      </c>
      <c r="D8" s="12" t="s">
        <v>51</v>
      </c>
      <c r="E8" s="3" t="s">
        <v>114</v>
      </c>
      <c r="F8" s="20">
        <f>SUMPRODUCT('Raw Scores (0-1)'!F8:M8,Methodology!F$50:M$50)</f>
        <v>10</v>
      </c>
      <c r="G8" s="20">
        <f>SUMPRODUCT('Raw Scores (0-1)'!N8:W8,Methodology!N$50:W$50)</f>
        <v>20</v>
      </c>
      <c r="H8" s="20">
        <f>SUMPRODUCT('Raw Scores (0-1)'!X8:AB8,Methodology!X$50:AB$50)</f>
        <v>10</v>
      </c>
      <c r="I8" s="20">
        <f>SUMPRODUCT('Raw Scores (0-1)'!AC8:AG8,Methodology!AC$50:AG$50)</f>
        <v>9</v>
      </c>
      <c r="J8" s="20">
        <f>SUMPRODUCT('Raw Scores (0-1)'!AH8:AJ8,Methodology!AH$50:AJ$50)</f>
        <v>0</v>
      </c>
      <c r="K8" s="23">
        <f t="shared" si="1"/>
        <v>49</v>
      </c>
    </row>
    <row r="9">
      <c r="A9" s="12">
        <v>8.0</v>
      </c>
      <c r="B9" s="6" t="s">
        <v>115</v>
      </c>
      <c r="C9" s="12" t="s">
        <v>50</v>
      </c>
      <c r="D9" s="12" t="s">
        <v>116</v>
      </c>
      <c r="E9" s="3" t="s">
        <v>117</v>
      </c>
      <c r="F9" s="20">
        <f>SUMPRODUCT('Raw Scores (0-1)'!F9:M9,Methodology!F$50:M$50)</f>
        <v>20</v>
      </c>
      <c r="G9" s="20">
        <f>SUMPRODUCT('Raw Scores (0-1)'!N9:W9,Methodology!N$50:W$50)</f>
        <v>20</v>
      </c>
      <c r="H9" s="20">
        <f>SUMPRODUCT('Raw Scores (0-1)'!X9:AB9,Methodology!X$50:AB$50)</f>
        <v>10</v>
      </c>
      <c r="I9" s="20">
        <f>SUMPRODUCT('Raw Scores (0-1)'!AC9:AG9,Methodology!AC$50:AG$50)</f>
        <v>10</v>
      </c>
      <c r="J9" s="20">
        <f>SUMPRODUCT('Raw Scores (0-1)'!AH9:AJ9,Methodology!AH$50:AJ$50)</f>
        <v>5.5</v>
      </c>
      <c r="K9" s="23">
        <f t="shared" si="1"/>
        <v>65.5</v>
      </c>
    </row>
    <row r="10">
      <c r="A10" s="12">
        <v>9.0</v>
      </c>
      <c r="B10" s="6" t="s">
        <v>118</v>
      </c>
      <c r="C10" s="12" t="s">
        <v>119</v>
      </c>
      <c r="D10" s="12" t="s">
        <v>120</v>
      </c>
      <c r="E10" s="3" t="s">
        <v>121</v>
      </c>
      <c r="F10" s="20">
        <f>SUMPRODUCT('Raw Scores (0-1)'!F10:M10,Methodology!F$50:M$50)</f>
        <v>5</v>
      </c>
      <c r="G10" s="20">
        <f>SUMPRODUCT('Raw Scores (0-1)'!N10:W10,Methodology!N$50:W$50)</f>
        <v>20</v>
      </c>
      <c r="H10" s="20">
        <f>SUMPRODUCT('Raw Scores (0-1)'!X10:AB10,Methodology!X$50:AB$50)</f>
        <v>10</v>
      </c>
      <c r="I10" s="20">
        <f>SUMPRODUCT('Raw Scores (0-1)'!AC10:AG10,Methodology!AC$50:AG$50)</f>
        <v>10</v>
      </c>
      <c r="J10" s="20">
        <f>SUMPRODUCT('Raw Scores (0-1)'!AH10:AJ10,Methodology!AH$50:AJ$50)</f>
        <v>7</v>
      </c>
      <c r="K10" s="23">
        <f t="shared" si="1"/>
        <v>52</v>
      </c>
    </row>
    <row r="11">
      <c r="A11" s="12">
        <v>10.0</v>
      </c>
      <c r="B11" s="6" t="s">
        <v>122</v>
      </c>
      <c r="C11" s="12" t="s">
        <v>119</v>
      </c>
      <c r="D11" s="12" t="s">
        <v>123</v>
      </c>
      <c r="E11" s="3" t="s">
        <v>124</v>
      </c>
      <c r="F11" s="20">
        <f>SUMPRODUCT('Raw Scores (0-1)'!F11:M11,Methodology!F$50:M$50)</f>
        <v>5</v>
      </c>
      <c r="G11" s="20">
        <f>SUMPRODUCT('Raw Scores (0-1)'!N11:W11,Methodology!N$50:W$50)</f>
        <v>20</v>
      </c>
      <c r="H11" s="20">
        <f>SUMPRODUCT('Raw Scores (0-1)'!X11:AB11,Methodology!X$50:AB$50)</f>
        <v>10</v>
      </c>
      <c r="I11" s="20">
        <f>SUMPRODUCT('Raw Scores (0-1)'!AC11:AG11,Methodology!AC$50:AG$50)</f>
        <v>10</v>
      </c>
      <c r="J11" s="20">
        <f>SUMPRODUCT('Raw Scores (0-1)'!AH11:AJ11,Methodology!AH$50:AJ$50)</f>
        <v>7</v>
      </c>
      <c r="K11" s="23">
        <f t="shared" si="1"/>
        <v>52</v>
      </c>
    </row>
    <row r="12">
      <c r="A12" s="12">
        <v>11.0</v>
      </c>
      <c r="B12" s="6" t="s">
        <v>125</v>
      </c>
      <c r="C12" s="12" t="s">
        <v>50</v>
      </c>
      <c r="D12" s="12" t="s">
        <v>126</v>
      </c>
      <c r="E12" s="3" t="s">
        <v>127</v>
      </c>
      <c r="F12" s="20">
        <f>SUMPRODUCT('Raw Scores (0-1)'!F12:M12,Methodology!F$50:M$50)</f>
        <v>22.5</v>
      </c>
      <c r="G12" s="20">
        <f>SUMPRODUCT('Raw Scores (0-1)'!N12:W12,Methodology!N$50:W$50)</f>
        <v>20</v>
      </c>
      <c r="H12" s="20">
        <f>SUMPRODUCT('Raw Scores (0-1)'!X12:AB12,Methodology!X$50:AB$50)</f>
        <v>10</v>
      </c>
      <c r="I12" s="20">
        <f>SUMPRODUCT('Raw Scores (0-1)'!AC12:AG12,Methodology!AC$50:AG$50)</f>
        <v>8</v>
      </c>
      <c r="J12" s="20">
        <f>SUMPRODUCT('Raw Scores (0-1)'!AH12:AJ12,Methodology!AH$50:AJ$50)</f>
        <v>3.5</v>
      </c>
      <c r="K12" s="23">
        <f t="shared" si="1"/>
        <v>64</v>
      </c>
    </row>
    <row r="13">
      <c r="A13" s="12">
        <v>12.0</v>
      </c>
      <c r="B13" s="6" t="s">
        <v>128</v>
      </c>
      <c r="C13" s="12" t="s">
        <v>113</v>
      </c>
      <c r="D13" s="12" t="s">
        <v>51</v>
      </c>
      <c r="E13" s="3" t="s">
        <v>129</v>
      </c>
      <c r="F13" s="20">
        <f>SUMPRODUCT('Raw Scores (0-1)'!F13:M13,Methodology!F$50:M$50)</f>
        <v>5</v>
      </c>
      <c r="G13" s="20">
        <f>SUMPRODUCT('Raw Scores (0-1)'!N13:W13,Methodology!N$50:W$50)</f>
        <v>18</v>
      </c>
      <c r="H13" s="20">
        <f>SUMPRODUCT('Raw Scores (0-1)'!X13:AB13,Methodology!X$50:AB$50)</f>
        <v>0</v>
      </c>
      <c r="I13" s="20">
        <f>SUMPRODUCT('Raw Scores (0-1)'!AC13:AG13,Methodology!AC$50:AG$50)</f>
        <v>6.5</v>
      </c>
      <c r="J13" s="20">
        <f>SUMPRODUCT('Raw Scores (0-1)'!AH13:AJ13,Methodology!AH$50:AJ$50)</f>
        <v>0</v>
      </c>
      <c r="K13" s="23">
        <f t="shared" si="1"/>
        <v>29.5</v>
      </c>
    </row>
    <row r="14">
      <c r="A14" s="12">
        <v>13.0</v>
      </c>
      <c r="B14" s="6" t="s">
        <v>130</v>
      </c>
      <c r="C14" s="12" t="s">
        <v>113</v>
      </c>
      <c r="D14" s="12" t="s">
        <v>131</v>
      </c>
      <c r="E14" s="3" t="s">
        <v>132</v>
      </c>
      <c r="F14" s="20">
        <f>SUMPRODUCT('Raw Scores (0-1)'!F14:M14,Methodology!F$50:M$50)</f>
        <v>22.5</v>
      </c>
      <c r="G14" s="20">
        <f>SUMPRODUCT('Raw Scores (0-1)'!N14:W14,Methodology!N$50:W$50)</f>
        <v>20</v>
      </c>
      <c r="H14" s="20">
        <f>SUMPRODUCT('Raw Scores (0-1)'!X14:AB14,Methodology!X$50:AB$50)</f>
        <v>8</v>
      </c>
      <c r="I14" s="20">
        <f>SUMPRODUCT('Raw Scores (0-1)'!AC14:AG14,Methodology!AC$50:AG$50)</f>
        <v>6.5</v>
      </c>
      <c r="J14" s="20">
        <f>SUMPRODUCT('Raw Scores (0-1)'!AH14:AJ14,Methodology!AH$50:AJ$50)</f>
        <v>0</v>
      </c>
      <c r="K14" s="23">
        <f t="shared" si="1"/>
        <v>57</v>
      </c>
    </row>
    <row r="15">
      <c r="A15" s="12">
        <v>14.0</v>
      </c>
      <c r="B15" s="6" t="s">
        <v>133</v>
      </c>
      <c r="C15" s="12" t="s">
        <v>113</v>
      </c>
      <c r="D15" s="12" t="s">
        <v>120</v>
      </c>
      <c r="E15" s="3" t="s">
        <v>134</v>
      </c>
      <c r="F15" s="20">
        <f>SUMPRODUCT('Raw Scores (0-1)'!F15:M15,Methodology!F$50:M$50)</f>
        <v>7.5</v>
      </c>
      <c r="G15" s="20">
        <f>SUMPRODUCT('Raw Scores (0-1)'!N15:W15,Methodology!N$50:W$50)</f>
        <v>20</v>
      </c>
      <c r="H15" s="20">
        <f>SUMPRODUCT('Raw Scores (0-1)'!X15:AB15,Methodology!X$50:AB$50)</f>
        <v>10</v>
      </c>
      <c r="I15" s="20">
        <f>SUMPRODUCT('Raw Scores (0-1)'!AC15:AG15,Methodology!AC$50:AG$50)</f>
        <v>7.5</v>
      </c>
      <c r="J15" s="20">
        <f>SUMPRODUCT('Raw Scores (0-1)'!AH15:AJ15,Methodology!AH$50:AJ$50)</f>
        <v>0</v>
      </c>
      <c r="K15" s="23">
        <f t="shared" si="1"/>
        <v>45</v>
      </c>
    </row>
    <row r="16">
      <c r="A16" s="12">
        <v>15.0</v>
      </c>
      <c r="B16" s="6" t="s">
        <v>135</v>
      </c>
      <c r="C16" s="12" t="s">
        <v>113</v>
      </c>
      <c r="D16" s="12" t="s">
        <v>136</v>
      </c>
      <c r="E16" s="3" t="s">
        <v>137</v>
      </c>
      <c r="F16" s="20">
        <f>SUMPRODUCT('Raw Scores (0-1)'!F16:M16,Methodology!F$50:M$50)</f>
        <v>7.5</v>
      </c>
      <c r="G16" s="20">
        <f>SUMPRODUCT('Raw Scores (0-1)'!N16:W16,Methodology!N$50:W$50)</f>
        <v>20</v>
      </c>
      <c r="H16" s="20">
        <f>SUMPRODUCT('Raw Scores (0-1)'!X16:AB16,Methodology!X$50:AB$50)</f>
        <v>1</v>
      </c>
      <c r="I16" s="20">
        <f>SUMPRODUCT('Raw Scores (0-1)'!AC16:AG16,Methodology!AC$50:AG$50)</f>
        <v>6.5</v>
      </c>
      <c r="J16" s="20">
        <f>SUMPRODUCT('Raw Scores (0-1)'!AH16:AJ16,Methodology!AH$50:AJ$50)</f>
        <v>0</v>
      </c>
      <c r="K16" s="23">
        <f t="shared" si="1"/>
        <v>35</v>
      </c>
    </row>
    <row r="17">
      <c r="A17" s="12">
        <v>16.0</v>
      </c>
      <c r="B17" s="6" t="s">
        <v>138</v>
      </c>
      <c r="C17" s="12" t="s">
        <v>113</v>
      </c>
      <c r="D17" s="12" t="s">
        <v>139</v>
      </c>
      <c r="E17" s="3" t="s">
        <v>140</v>
      </c>
      <c r="F17" s="20">
        <f>SUMPRODUCT('Raw Scores (0-1)'!F17:M17,Methodology!F$50:M$50)</f>
        <v>5</v>
      </c>
      <c r="G17" s="20">
        <f>SUMPRODUCT('Raw Scores (0-1)'!N17:W17,Methodology!N$50:W$50)</f>
        <v>13</v>
      </c>
      <c r="H17" s="20">
        <f>SUMPRODUCT('Raw Scores (0-1)'!X17:AB17,Methodology!X$50:AB$50)</f>
        <v>0</v>
      </c>
      <c r="I17" s="20">
        <f>SUMPRODUCT('Raw Scores (0-1)'!AC17:AG17,Methodology!AC$50:AG$50)</f>
        <v>6.5</v>
      </c>
      <c r="J17" s="20">
        <f>SUMPRODUCT('Raw Scores (0-1)'!AH17:AJ17,Methodology!AH$50:AJ$50)</f>
        <v>0</v>
      </c>
      <c r="K17" s="23">
        <f t="shared" si="1"/>
        <v>24.5</v>
      </c>
    </row>
    <row r="18">
      <c r="A18" s="12">
        <v>17.0</v>
      </c>
      <c r="B18" s="6" t="s">
        <v>141</v>
      </c>
      <c r="C18" s="12" t="s">
        <v>119</v>
      </c>
      <c r="D18" s="12" t="s">
        <v>105</v>
      </c>
      <c r="E18" s="3" t="s">
        <v>142</v>
      </c>
      <c r="F18" s="20">
        <f>SUMPRODUCT('Raw Scores (0-1)'!F18:M18,Methodology!F$50:M$50)</f>
        <v>17.5</v>
      </c>
      <c r="G18" s="20">
        <f>SUMPRODUCT('Raw Scores (0-1)'!N18:W18,Methodology!N$50:W$50)</f>
        <v>18</v>
      </c>
      <c r="H18" s="20">
        <f>SUMPRODUCT('Raw Scores (0-1)'!X18:AB18,Methodology!X$50:AB$50)</f>
        <v>10</v>
      </c>
      <c r="I18" s="20">
        <f>SUMPRODUCT('Raw Scores (0-1)'!AC18:AG18,Methodology!AC$50:AG$50)</f>
        <v>7.5</v>
      </c>
      <c r="J18" s="20">
        <f>SUMPRODUCT('Raw Scores (0-1)'!AH18:AJ18,Methodology!AH$50:AJ$50)</f>
        <v>5</v>
      </c>
      <c r="K18" s="23">
        <f t="shared" si="1"/>
        <v>58</v>
      </c>
    </row>
    <row r="19">
      <c r="A19" s="12">
        <v>18.0</v>
      </c>
      <c r="B19" s="6" t="s">
        <v>143</v>
      </c>
      <c r="C19" s="12" t="s">
        <v>144</v>
      </c>
      <c r="D19" s="12" t="s">
        <v>145</v>
      </c>
      <c r="E19" s="3" t="s">
        <v>146</v>
      </c>
      <c r="F19" s="20">
        <f>SUMPRODUCT('Raw Scores (0-1)'!F19:M19,Methodology!F$50:M$50)</f>
        <v>7.5</v>
      </c>
      <c r="G19" s="20">
        <f>SUMPRODUCT('Raw Scores (0-1)'!N19:W19,Methodology!N$50:W$50)</f>
        <v>13</v>
      </c>
      <c r="H19" s="20">
        <f>SUMPRODUCT('Raw Scores (0-1)'!X19:AB19,Methodology!X$50:AB$50)</f>
        <v>0</v>
      </c>
      <c r="I19" s="20">
        <f>SUMPRODUCT('Raw Scores (0-1)'!AC19:AG19,Methodology!AC$50:AG$50)</f>
        <v>4.5</v>
      </c>
      <c r="J19" s="20">
        <f>SUMPRODUCT('Raw Scores (0-1)'!AH19:AJ19,Methodology!AH$50:AJ$50)</f>
        <v>0</v>
      </c>
      <c r="K19" s="23">
        <f t="shared" si="1"/>
        <v>25</v>
      </c>
    </row>
    <row r="20">
      <c r="A20" s="12">
        <v>19.0</v>
      </c>
      <c r="B20" s="6" t="s">
        <v>147</v>
      </c>
      <c r="C20" s="12" t="s">
        <v>148</v>
      </c>
      <c r="D20" s="12" t="s">
        <v>120</v>
      </c>
      <c r="E20" s="3" t="s">
        <v>149</v>
      </c>
      <c r="F20" s="20">
        <f>SUMPRODUCT('Raw Scores (0-1)'!F20:M20,Methodology!F$50:M$50)</f>
        <v>2.5</v>
      </c>
      <c r="G20" s="20">
        <f>SUMPRODUCT('Raw Scores (0-1)'!N20:W20,Methodology!N$50:W$50)</f>
        <v>17</v>
      </c>
      <c r="H20" s="20">
        <f>SUMPRODUCT('Raw Scores (0-1)'!X20:AB20,Methodology!X$50:AB$50)</f>
        <v>7</v>
      </c>
      <c r="I20" s="20">
        <f>SUMPRODUCT('Raw Scores (0-1)'!AC20:AG20,Methodology!AC$50:AG$50)</f>
        <v>8.5</v>
      </c>
      <c r="J20" s="20">
        <f>SUMPRODUCT('Raw Scores (0-1)'!AH20:AJ20,Methodology!AH$50:AJ$50)</f>
        <v>3</v>
      </c>
      <c r="K20" s="23">
        <f t="shared" si="1"/>
        <v>38</v>
      </c>
    </row>
    <row r="21" ht="15.75" customHeight="1">
      <c r="A21" s="12">
        <v>20.0</v>
      </c>
      <c r="B21" s="6" t="s">
        <v>150</v>
      </c>
      <c r="C21" s="12" t="s">
        <v>119</v>
      </c>
      <c r="D21" s="12" t="s">
        <v>151</v>
      </c>
      <c r="E21" s="3" t="s">
        <v>152</v>
      </c>
      <c r="F21" s="20">
        <f>SUMPRODUCT('Raw Scores (0-1)'!F21:M21,Methodology!F$50:M$50)</f>
        <v>17.5</v>
      </c>
      <c r="G21" s="20">
        <f>SUMPRODUCT('Raw Scores (0-1)'!N21:W21,Methodology!N$50:W$50)</f>
        <v>20</v>
      </c>
      <c r="H21" s="20">
        <f>SUMPRODUCT('Raw Scores (0-1)'!X21:AB21,Methodology!X$50:AB$50)</f>
        <v>10</v>
      </c>
      <c r="I21" s="20">
        <f>SUMPRODUCT('Raw Scores (0-1)'!AC21:AG21,Methodology!AC$50:AG$50)</f>
        <v>10</v>
      </c>
      <c r="J21" s="20">
        <f>SUMPRODUCT('Raw Scores (0-1)'!AH21:AJ21,Methodology!AH$50:AJ$50)</f>
        <v>7</v>
      </c>
      <c r="K21" s="23">
        <f t="shared" si="1"/>
        <v>64.5</v>
      </c>
    </row>
    <row r="22" ht="15.75" customHeight="1">
      <c r="A22" s="12">
        <v>21.0</v>
      </c>
      <c r="B22" s="6" t="s">
        <v>153</v>
      </c>
      <c r="C22" s="12" t="s">
        <v>154</v>
      </c>
      <c r="D22" s="12" t="s">
        <v>155</v>
      </c>
      <c r="E22" s="3" t="s">
        <v>156</v>
      </c>
      <c r="F22" s="20">
        <f>SUMPRODUCT('Raw Scores (0-1)'!F22:M22,Methodology!F$50:M$50)</f>
        <v>40</v>
      </c>
      <c r="G22" s="20">
        <f>SUMPRODUCT('Raw Scores (0-1)'!N22:W22,Methodology!N$50:W$50)</f>
        <v>20</v>
      </c>
      <c r="H22" s="20">
        <f>SUMPRODUCT('Raw Scores (0-1)'!X22:AB22,Methodology!X$50:AB$50)</f>
        <v>10</v>
      </c>
      <c r="I22" s="20">
        <f>SUMPRODUCT('Raw Scores (0-1)'!AC22:AG22,Methodology!AC$50:AG$50)</f>
        <v>8</v>
      </c>
      <c r="J22" s="20">
        <f>SUMPRODUCT('Raw Scores (0-1)'!AH22:AJ22,Methodology!AH$50:AJ$50)</f>
        <v>10</v>
      </c>
      <c r="K22" s="23">
        <f t="shared" si="1"/>
        <v>88</v>
      </c>
    </row>
    <row r="23" ht="15.75" customHeight="1">
      <c r="A23" s="12">
        <v>22.0</v>
      </c>
      <c r="B23" s="6" t="s">
        <v>157</v>
      </c>
      <c r="C23" s="12" t="s">
        <v>154</v>
      </c>
      <c r="D23" s="12" t="s">
        <v>158</v>
      </c>
      <c r="E23" s="3" t="s">
        <v>159</v>
      </c>
      <c r="F23" s="20">
        <f>SUMPRODUCT('Raw Scores (0-1)'!F23:M23,Methodology!F$50:M$50)</f>
        <v>42.5</v>
      </c>
      <c r="G23" s="20">
        <f>SUMPRODUCT('Raw Scores (0-1)'!N23:W23,Methodology!N$50:W$50)</f>
        <v>19</v>
      </c>
      <c r="H23" s="20">
        <f>SUMPRODUCT('Raw Scores (0-1)'!X23:AB23,Methodology!X$50:AB$50)</f>
        <v>10</v>
      </c>
      <c r="I23" s="20">
        <f>SUMPRODUCT('Raw Scores (0-1)'!AC23:AG23,Methodology!AC$50:AG$50)</f>
        <v>10</v>
      </c>
      <c r="J23" s="20">
        <f>SUMPRODUCT('Raw Scores (0-1)'!AH23:AJ23,Methodology!AH$50:AJ$50)</f>
        <v>8.5</v>
      </c>
      <c r="K23" s="23">
        <f t="shared" si="1"/>
        <v>90</v>
      </c>
    </row>
    <row r="24" ht="15.75" customHeight="1">
      <c r="A24" s="12">
        <v>23.0</v>
      </c>
      <c r="B24" s="6" t="s">
        <v>160</v>
      </c>
      <c r="C24" s="12" t="s">
        <v>154</v>
      </c>
      <c r="D24" s="12" t="s">
        <v>161</v>
      </c>
      <c r="E24" s="3" t="s">
        <v>162</v>
      </c>
      <c r="F24" s="20">
        <f>SUMPRODUCT('Raw Scores (0-1)'!F24:M24,Methodology!F$50:M$50)</f>
        <v>50</v>
      </c>
      <c r="G24" s="20">
        <f>SUMPRODUCT('Raw Scores (0-1)'!N24:W24,Methodology!N$50:W$50)</f>
        <v>17</v>
      </c>
      <c r="H24" s="20">
        <f>SUMPRODUCT('Raw Scores (0-1)'!X24:AB24,Methodology!X$50:AB$50)</f>
        <v>10</v>
      </c>
      <c r="I24" s="20">
        <f>SUMPRODUCT('Raw Scores (0-1)'!AC24:AG24,Methodology!AC$50:AG$50)</f>
        <v>10</v>
      </c>
      <c r="J24" s="20">
        <f>SUMPRODUCT('Raw Scores (0-1)'!AH24:AJ24,Methodology!AH$50:AJ$50)</f>
        <v>8.5</v>
      </c>
      <c r="K24" s="23">
        <f t="shared" si="1"/>
        <v>95.5</v>
      </c>
    </row>
    <row r="25" ht="15.75" customHeight="1">
      <c r="A25" s="12">
        <v>24.0</v>
      </c>
      <c r="B25" s="6" t="s">
        <v>163</v>
      </c>
      <c r="C25" s="12" t="s">
        <v>154</v>
      </c>
      <c r="D25" s="12" t="s">
        <v>164</v>
      </c>
      <c r="E25" s="3" t="s">
        <v>165</v>
      </c>
      <c r="F25" s="20">
        <f>SUMPRODUCT('Raw Scores (0-1)'!F25:M25,Methodology!F$50:M$50)</f>
        <v>45</v>
      </c>
      <c r="G25" s="20">
        <f>SUMPRODUCT('Raw Scores (0-1)'!N25:W25,Methodology!N$50:W$50)</f>
        <v>12</v>
      </c>
      <c r="H25" s="20">
        <f>SUMPRODUCT('Raw Scores (0-1)'!X25:AB25,Methodology!X$50:AB$50)</f>
        <v>4</v>
      </c>
      <c r="I25" s="20">
        <f>SUMPRODUCT('Raw Scores (0-1)'!AC25:AG25,Methodology!AC$50:AG$50)</f>
        <v>8</v>
      </c>
      <c r="J25" s="20">
        <f>SUMPRODUCT('Raw Scores (0-1)'!AH25:AJ25,Methodology!AH$50:AJ$50)</f>
        <v>10</v>
      </c>
      <c r="K25" s="23">
        <f t="shared" si="1"/>
        <v>79</v>
      </c>
    </row>
    <row r="26" ht="15.75" customHeight="1">
      <c r="A26" s="12">
        <v>25.0</v>
      </c>
      <c r="B26" s="6" t="s">
        <v>166</v>
      </c>
      <c r="C26" s="12" t="s">
        <v>154</v>
      </c>
      <c r="D26" s="12" t="s">
        <v>167</v>
      </c>
      <c r="E26" s="3" t="s">
        <v>168</v>
      </c>
      <c r="F26" s="20">
        <f>SUMPRODUCT('Raw Scores (0-1)'!F26:M26,Methodology!F$50:M$50)</f>
        <v>37.5</v>
      </c>
      <c r="G26" s="20">
        <f>SUMPRODUCT('Raw Scores (0-1)'!N26:W26,Methodology!N$50:W$50)</f>
        <v>20</v>
      </c>
      <c r="H26" s="20">
        <f>SUMPRODUCT('Raw Scores (0-1)'!X26:AB26,Methodology!X$50:AB$50)</f>
        <v>10</v>
      </c>
      <c r="I26" s="20">
        <f>SUMPRODUCT('Raw Scores (0-1)'!AC26:AG26,Methodology!AC$50:AG$50)</f>
        <v>10</v>
      </c>
      <c r="J26" s="20">
        <f>SUMPRODUCT('Raw Scores (0-1)'!AH26:AJ26,Methodology!AH$50:AJ$50)</f>
        <v>10</v>
      </c>
      <c r="K26" s="23">
        <f t="shared" si="1"/>
        <v>87.5</v>
      </c>
    </row>
    <row r="27" ht="15.75" customHeight="1">
      <c r="A27" s="12">
        <v>26.0</v>
      </c>
      <c r="B27" s="6" t="s">
        <v>169</v>
      </c>
      <c r="C27" s="12" t="s">
        <v>170</v>
      </c>
      <c r="D27" s="12" t="s">
        <v>171</v>
      </c>
      <c r="E27" s="3" t="s">
        <v>172</v>
      </c>
      <c r="F27" s="20">
        <f>SUMPRODUCT('Raw Scores (0-1)'!F27:M27,Methodology!F$50:M$50)</f>
        <v>0</v>
      </c>
      <c r="G27" s="20">
        <f>SUMPRODUCT('Raw Scores (0-1)'!N27:W27,Methodology!N$50:W$50)</f>
        <v>17</v>
      </c>
      <c r="H27" s="20">
        <f>SUMPRODUCT('Raw Scores (0-1)'!X27:AB27,Methodology!X$50:AB$50)</f>
        <v>8</v>
      </c>
      <c r="I27" s="20">
        <f>SUMPRODUCT('Raw Scores (0-1)'!AC27:AG27,Methodology!AC$50:AG$50)</f>
        <v>7</v>
      </c>
      <c r="J27" s="20">
        <f>SUMPRODUCT('Raw Scores (0-1)'!AH27:AJ27,Methodology!AH$50:AJ$50)</f>
        <v>2</v>
      </c>
      <c r="K27" s="23">
        <f t="shared" si="1"/>
        <v>34</v>
      </c>
    </row>
    <row r="28" ht="15.75" customHeight="1">
      <c r="A28" s="12">
        <v>27.0</v>
      </c>
      <c r="B28" s="6" t="s">
        <v>173</v>
      </c>
      <c r="C28" s="12" t="s">
        <v>170</v>
      </c>
      <c r="D28" s="12" t="s">
        <v>174</v>
      </c>
      <c r="E28" s="3" t="s">
        <v>175</v>
      </c>
      <c r="F28" s="20">
        <f>SUMPRODUCT('Raw Scores (0-1)'!F28:M28,Methodology!F$50:M$50)</f>
        <v>15</v>
      </c>
      <c r="G28" s="20">
        <f>SUMPRODUCT('Raw Scores (0-1)'!N28:W28,Methodology!N$50:W$50)</f>
        <v>20</v>
      </c>
      <c r="H28" s="20">
        <f>SUMPRODUCT('Raw Scores (0-1)'!X28:AB28,Methodology!X$50:AB$50)</f>
        <v>10</v>
      </c>
      <c r="I28" s="20">
        <f>SUMPRODUCT('Raw Scores (0-1)'!AC28:AG28,Methodology!AC$50:AG$50)</f>
        <v>6.5</v>
      </c>
      <c r="J28" s="20">
        <f>SUMPRODUCT('Raw Scores (0-1)'!AH28:AJ28,Methodology!AH$50:AJ$50)</f>
        <v>2</v>
      </c>
      <c r="K28" s="23">
        <f t="shared" si="1"/>
        <v>53.5</v>
      </c>
    </row>
    <row r="29" ht="15.75" customHeight="1">
      <c r="A29" s="12">
        <v>28.0</v>
      </c>
      <c r="B29" s="6" t="s">
        <v>176</v>
      </c>
      <c r="C29" s="12" t="s">
        <v>170</v>
      </c>
      <c r="D29" s="12" t="s">
        <v>177</v>
      </c>
      <c r="E29" s="3" t="s">
        <v>178</v>
      </c>
      <c r="F29" s="20">
        <f>SUMPRODUCT('Raw Scores (0-1)'!F29:M29,Methodology!F$50:M$50)</f>
        <v>12.5</v>
      </c>
      <c r="G29" s="20">
        <f>SUMPRODUCT('Raw Scores (0-1)'!N29:W29,Methodology!N$50:W$50)</f>
        <v>20</v>
      </c>
      <c r="H29" s="20">
        <f>SUMPRODUCT('Raw Scores (0-1)'!X29:AB29,Methodology!X$50:AB$50)</f>
        <v>10</v>
      </c>
      <c r="I29" s="20">
        <f>SUMPRODUCT('Raw Scores (0-1)'!AC29:AG29,Methodology!AC$50:AG$50)</f>
        <v>7.5</v>
      </c>
      <c r="J29" s="20">
        <f>SUMPRODUCT('Raw Scores (0-1)'!AH29:AJ29,Methodology!AH$50:AJ$50)</f>
        <v>2</v>
      </c>
      <c r="K29" s="23">
        <f t="shared" si="1"/>
        <v>52</v>
      </c>
    </row>
    <row r="30" ht="15.75" customHeight="1">
      <c r="A30" s="12">
        <v>29.0</v>
      </c>
      <c r="B30" s="6" t="s">
        <v>179</v>
      </c>
      <c r="C30" s="12" t="s">
        <v>170</v>
      </c>
      <c r="D30" s="12" t="s">
        <v>180</v>
      </c>
      <c r="E30" s="3" t="s">
        <v>181</v>
      </c>
      <c r="F30" s="20">
        <f>SUMPRODUCT('Raw Scores (0-1)'!F30:M30,Methodology!F$50:M$50)</f>
        <v>12.5</v>
      </c>
      <c r="G30" s="20">
        <f>SUMPRODUCT('Raw Scores (0-1)'!N30:W30,Methodology!N$50:W$50)</f>
        <v>20</v>
      </c>
      <c r="H30" s="20">
        <f>SUMPRODUCT('Raw Scores (0-1)'!X30:AB30,Methodology!X$50:AB$50)</f>
        <v>8</v>
      </c>
      <c r="I30" s="20">
        <f>SUMPRODUCT('Raw Scores (0-1)'!AC30:AG30,Methodology!AC$50:AG$50)</f>
        <v>7</v>
      </c>
      <c r="J30" s="20">
        <f>SUMPRODUCT('Raw Scores (0-1)'!AH30:AJ30,Methodology!AH$50:AJ$50)</f>
        <v>0</v>
      </c>
      <c r="K30" s="23">
        <f t="shared" si="1"/>
        <v>47.5</v>
      </c>
    </row>
    <row r="31" ht="15.75" customHeight="1">
      <c r="A31" s="12">
        <v>30.0</v>
      </c>
      <c r="B31" s="6" t="s">
        <v>182</v>
      </c>
      <c r="C31" s="12" t="s">
        <v>170</v>
      </c>
      <c r="D31" s="12" t="s">
        <v>183</v>
      </c>
      <c r="E31" s="3" t="s">
        <v>184</v>
      </c>
      <c r="F31" s="20">
        <f>SUMPRODUCT('Raw Scores (0-1)'!F31:M31,Methodology!F$50:M$50)</f>
        <v>15</v>
      </c>
      <c r="G31" s="20">
        <f>SUMPRODUCT('Raw Scores (0-1)'!N31:W31,Methodology!N$50:W$50)</f>
        <v>18</v>
      </c>
      <c r="H31" s="20">
        <f>SUMPRODUCT('Raw Scores (0-1)'!X31:AB31,Methodology!X$50:AB$50)</f>
        <v>8</v>
      </c>
      <c r="I31" s="20">
        <f>SUMPRODUCT('Raw Scores (0-1)'!AC31:AG31,Methodology!AC$50:AG$50)</f>
        <v>4.5</v>
      </c>
      <c r="J31" s="20">
        <f>SUMPRODUCT('Raw Scores (0-1)'!AH31:AJ31,Methodology!AH$50:AJ$50)</f>
        <v>2</v>
      </c>
      <c r="K31" s="23">
        <f t="shared" si="1"/>
        <v>47.5</v>
      </c>
    </row>
    <row r="32" ht="15.75" customHeight="1">
      <c r="A32" s="12">
        <v>31.0</v>
      </c>
      <c r="B32" s="6" t="s">
        <v>185</v>
      </c>
      <c r="C32" s="12" t="s">
        <v>186</v>
      </c>
      <c r="D32" s="12" t="s">
        <v>187</v>
      </c>
      <c r="E32" s="3" t="s">
        <v>188</v>
      </c>
      <c r="F32" s="20">
        <f>SUMPRODUCT('Raw Scores (0-1)'!F32:M32,Methodology!F$50:M$50)</f>
        <v>35</v>
      </c>
      <c r="G32" s="20">
        <f>SUMPRODUCT('Raw Scores (0-1)'!N32:W32,Methodology!N$50:W$50)</f>
        <v>20</v>
      </c>
      <c r="H32" s="20">
        <f>SUMPRODUCT('Raw Scores (0-1)'!X32:AB32,Methodology!X$50:AB$50)</f>
        <v>10</v>
      </c>
      <c r="I32" s="20">
        <f>SUMPRODUCT('Raw Scores (0-1)'!AC32:AG32,Methodology!AC$50:AG$50)</f>
        <v>10</v>
      </c>
      <c r="J32" s="20">
        <f>SUMPRODUCT('Raw Scores (0-1)'!AH32:AJ32,Methodology!AH$50:AJ$50)</f>
        <v>8.5</v>
      </c>
      <c r="K32" s="23">
        <f t="shared" si="1"/>
        <v>83.5</v>
      </c>
    </row>
    <row r="33" ht="15.75" customHeight="1">
      <c r="A33" s="12">
        <v>32.0</v>
      </c>
      <c r="B33" s="6" t="s">
        <v>189</v>
      </c>
      <c r="C33" s="12" t="s">
        <v>186</v>
      </c>
      <c r="D33" s="12" t="s">
        <v>190</v>
      </c>
      <c r="E33" s="3" t="s">
        <v>191</v>
      </c>
      <c r="F33" s="20">
        <f>SUMPRODUCT('Raw Scores (0-1)'!F33:M33,Methodology!F$50:M$50)</f>
        <v>30</v>
      </c>
      <c r="G33" s="20">
        <f>SUMPRODUCT('Raw Scores (0-1)'!N33:W33,Methodology!N$50:W$50)</f>
        <v>17</v>
      </c>
      <c r="H33" s="20">
        <f>SUMPRODUCT('Raw Scores (0-1)'!X33:AB33,Methodology!X$50:AB$50)</f>
        <v>8</v>
      </c>
      <c r="I33" s="20">
        <f>SUMPRODUCT('Raw Scores (0-1)'!AC33:AG33,Methodology!AC$50:AG$50)</f>
        <v>10</v>
      </c>
      <c r="J33" s="20">
        <f>SUMPRODUCT('Raw Scores (0-1)'!AH33:AJ33,Methodology!AH$50:AJ$50)</f>
        <v>8.5</v>
      </c>
      <c r="K33" s="23">
        <f t="shared" si="1"/>
        <v>73.5</v>
      </c>
    </row>
    <row r="34" ht="15.75" customHeight="1">
      <c r="A34" s="12">
        <v>33.0</v>
      </c>
      <c r="B34" s="6" t="s">
        <v>192</v>
      </c>
      <c r="C34" s="12" t="s">
        <v>186</v>
      </c>
      <c r="D34" s="12" t="s">
        <v>193</v>
      </c>
      <c r="E34" s="3" t="s">
        <v>194</v>
      </c>
      <c r="F34" s="20">
        <f>SUMPRODUCT('Raw Scores (0-1)'!F34:M34,Methodology!F$50:M$50)</f>
        <v>25</v>
      </c>
      <c r="G34" s="20">
        <f>SUMPRODUCT('Raw Scores (0-1)'!N34:W34,Methodology!N$50:W$50)</f>
        <v>18</v>
      </c>
      <c r="H34" s="20">
        <f>SUMPRODUCT('Raw Scores (0-1)'!X34:AB34,Methodology!X$50:AB$50)</f>
        <v>10</v>
      </c>
      <c r="I34" s="20">
        <f>SUMPRODUCT('Raw Scores (0-1)'!AC34:AG34,Methodology!AC$50:AG$50)</f>
        <v>10</v>
      </c>
      <c r="J34" s="20">
        <f>SUMPRODUCT('Raw Scores (0-1)'!AH34:AJ34,Methodology!AH$50:AJ$50)</f>
        <v>10</v>
      </c>
      <c r="K34" s="23">
        <f t="shared" si="1"/>
        <v>73</v>
      </c>
    </row>
    <row r="35" ht="15.75" customHeight="1">
      <c r="A35" s="12">
        <v>34.0</v>
      </c>
      <c r="B35" s="6" t="s">
        <v>195</v>
      </c>
      <c r="C35" s="12" t="s">
        <v>154</v>
      </c>
      <c r="D35" s="12" t="s">
        <v>196</v>
      </c>
      <c r="E35" s="3" t="s">
        <v>197</v>
      </c>
      <c r="F35" s="20">
        <f>SUMPRODUCT('Raw Scores (0-1)'!F35:M35,Methodology!F$50:M$50)</f>
        <v>50</v>
      </c>
      <c r="G35" s="20">
        <f>SUMPRODUCT('Raw Scores (0-1)'!N35:W35,Methodology!N$50:W$50)</f>
        <v>19</v>
      </c>
      <c r="H35" s="20">
        <f>SUMPRODUCT('Raw Scores (0-1)'!X35:AB35,Methodology!X$50:AB$50)</f>
        <v>4</v>
      </c>
      <c r="I35" s="20">
        <f>SUMPRODUCT('Raw Scores (0-1)'!AC35:AG35,Methodology!AC$50:AG$50)</f>
        <v>8</v>
      </c>
      <c r="J35" s="20">
        <f>SUMPRODUCT('Raw Scores (0-1)'!AH35:AJ35,Methodology!AH$50:AJ$50)</f>
        <v>10</v>
      </c>
      <c r="K35" s="23">
        <f t="shared" si="1"/>
        <v>91</v>
      </c>
    </row>
    <row r="36" ht="15.75" customHeight="1">
      <c r="A36" s="12">
        <v>35.0</v>
      </c>
      <c r="B36" s="6" t="s">
        <v>198</v>
      </c>
      <c r="C36" s="12" t="s">
        <v>154</v>
      </c>
      <c r="D36" s="12" t="s">
        <v>199</v>
      </c>
      <c r="E36" s="3" t="s">
        <v>200</v>
      </c>
      <c r="F36" s="20">
        <f>SUMPRODUCT('Raw Scores (0-1)'!F36:M36,Methodology!F$50:M$50)</f>
        <v>45</v>
      </c>
      <c r="G36" s="20">
        <f>SUMPRODUCT('Raw Scores (0-1)'!N36:W36,Methodology!N$50:W$50)</f>
        <v>20</v>
      </c>
      <c r="H36" s="20">
        <f>SUMPRODUCT('Raw Scores (0-1)'!X36:AB36,Methodology!X$50:AB$50)</f>
        <v>8</v>
      </c>
      <c r="I36" s="20">
        <f>SUMPRODUCT('Raw Scores (0-1)'!AC36:AG36,Methodology!AC$50:AG$50)</f>
        <v>8</v>
      </c>
      <c r="J36" s="20">
        <f>SUMPRODUCT('Raw Scores (0-1)'!AH36:AJ36,Methodology!AH$50:AJ$50)</f>
        <v>10</v>
      </c>
      <c r="K36" s="23">
        <f t="shared" si="1"/>
        <v>91</v>
      </c>
    </row>
    <row r="37" ht="15.75" customHeight="1">
      <c r="A37" s="12">
        <v>36.0</v>
      </c>
      <c r="B37" s="6" t="s">
        <v>201</v>
      </c>
      <c r="C37" s="12" t="s">
        <v>154</v>
      </c>
      <c r="D37" s="12" t="s">
        <v>202</v>
      </c>
      <c r="E37" s="3" t="s">
        <v>203</v>
      </c>
      <c r="F37" s="20">
        <f>SUMPRODUCT('Raw Scores (0-1)'!F37:M37,Methodology!F$50:M$50)</f>
        <v>42.5</v>
      </c>
      <c r="G37" s="20">
        <f>SUMPRODUCT('Raw Scores (0-1)'!N37:W37,Methodology!N$50:W$50)</f>
        <v>7</v>
      </c>
      <c r="H37" s="20">
        <f>SUMPRODUCT('Raw Scores (0-1)'!X37:AB37,Methodology!X$50:AB$50)</f>
        <v>0</v>
      </c>
      <c r="I37" s="20">
        <f>SUMPRODUCT('Raw Scores (0-1)'!AC37:AG37,Methodology!AC$50:AG$50)</f>
        <v>3</v>
      </c>
      <c r="J37" s="20">
        <f>SUMPRODUCT('Raw Scores (0-1)'!AH37:AJ37,Methodology!AH$50:AJ$50)</f>
        <v>10</v>
      </c>
      <c r="K37" s="23">
        <f t="shared" si="1"/>
        <v>62.5</v>
      </c>
    </row>
    <row r="38" ht="15.75" customHeight="1">
      <c r="A38" s="12">
        <v>37.0</v>
      </c>
      <c r="B38" s="6" t="s">
        <v>204</v>
      </c>
      <c r="C38" s="12" t="s">
        <v>154</v>
      </c>
      <c r="D38" s="12" t="s">
        <v>205</v>
      </c>
      <c r="E38" s="3" t="s">
        <v>206</v>
      </c>
      <c r="F38" s="20">
        <f>SUMPRODUCT('Raw Scores (0-1)'!F38:M38,Methodology!F$50:M$50)</f>
        <v>40</v>
      </c>
      <c r="G38" s="20">
        <f>SUMPRODUCT('Raw Scores (0-1)'!N38:W38,Methodology!N$50:W$50)</f>
        <v>16</v>
      </c>
      <c r="H38" s="20">
        <f>SUMPRODUCT('Raw Scores (0-1)'!X38:AB38,Methodology!X$50:AB$50)</f>
        <v>10</v>
      </c>
      <c r="I38" s="20">
        <f>SUMPRODUCT('Raw Scores (0-1)'!AC38:AG38,Methodology!AC$50:AG$50)</f>
        <v>8</v>
      </c>
      <c r="J38" s="20">
        <f>SUMPRODUCT('Raw Scores (0-1)'!AH38:AJ38,Methodology!AH$50:AJ$50)</f>
        <v>10</v>
      </c>
      <c r="K38" s="23">
        <f t="shared" si="1"/>
        <v>84</v>
      </c>
    </row>
    <row r="39" ht="15.75" customHeight="1">
      <c r="A39" s="12">
        <v>38.0</v>
      </c>
      <c r="B39" s="6" t="s">
        <v>207</v>
      </c>
      <c r="C39" s="12" t="s">
        <v>208</v>
      </c>
      <c r="D39" s="12" t="s">
        <v>209</v>
      </c>
      <c r="E39" s="3" t="s">
        <v>210</v>
      </c>
      <c r="F39" s="20">
        <f>SUMPRODUCT('Raw Scores (0-1)'!F39:M39,Methodology!F$50:M$50)</f>
        <v>40</v>
      </c>
      <c r="G39" s="20">
        <f>SUMPRODUCT('Raw Scores (0-1)'!N39:W39,Methodology!N$50:W$50)</f>
        <v>9</v>
      </c>
      <c r="H39" s="20">
        <f>SUMPRODUCT('Raw Scores (0-1)'!X39:AB39,Methodology!X$50:AB$50)</f>
        <v>9</v>
      </c>
      <c r="I39" s="20">
        <f>SUMPRODUCT('Raw Scores (0-1)'!AC39:AG39,Methodology!AC$50:AG$50)</f>
        <v>3.5</v>
      </c>
      <c r="J39" s="20">
        <f>SUMPRODUCT('Raw Scores (0-1)'!AH39:AJ39,Methodology!AH$50:AJ$50)</f>
        <v>10</v>
      </c>
      <c r="K39" s="23">
        <f t="shared" si="1"/>
        <v>71.5</v>
      </c>
    </row>
    <row r="40" ht="15.75" customHeight="1">
      <c r="A40" s="12">
        <v>39.0</v>
      </c>
      <c r="B40" s="6" t="s">
        <v>211</v>
      </c>
      <c r="C40" s="12" t="s">
        <v>154</v>
      </c>
      <c r="D40" s="12" t="s">
        <v>212</v>
      </c>
      <c r="E40" s="3" t="s">
        <v>213</v>
      </c>
      <c r="F40" s="20">
        <f>SUMPRODUCT('Raw Scores (0-1)'!F40:M40,Methodology!F$50:M$50)</f>
        <v>45</v>
      </c>
      <c r="G40" s="20">
        <f>SUMPRODUCT('Raw Scores (0-1)'!N40:W40,Methodology!N$50:W$50)</f>
        <v>17</v>
      </c>
      <c r="H40" s="20">
        <f>SUMPRODUCT('Raw Scores (0-1)'!X40:AB40,Methodology!X$50:AB$50)</f>
        <v>0</v>
      </c>
      <c r="I40" s="20">
        <f>SUMPRODUCT('Raw Scores (0-1)'!AC40:AG40,Methodology!AC$50:AG$50)</f>
        <v>8</v>
      </c>
      <c r="J40" s="20">
        <f>SUMPRODUCT('Raw Scores (0-1)'!AH40:AJ40,Methodology!AH$50:AJ$50)</f>
        <v>10</v>
      </c>
      <c r="K40" s="23">
        <f t="shared" si="1"/>
        <v>80</v>
      </c>
    </row>
    <row r="41" ht="15.75" customHeight="1">
      <c r="A41" s="12">
        <v>40.0</v>
      </c>
      <c r="B41" s="6" t="s">
        <v>214</v>
      </c>
      <c r="C41" s="12" t="s">
        <v>208</v>
      </c>
      <c r="D41" s="12" t="s">
        <v>215</v>
      </c>
      <c r="E41" s="3" t="s">
        <v>216</v>
      </c>
      <c r="F41" s="20">
        <f>SUMPRODUCT('Raw Scores (0-1)'!F41:M41,Methodology!F$50:M$50)</f>
        <v>17.5</v>
      </c>
      <c r="G41" s="20">
        <f>SUMPRODUCT('Raw Scores (0-1)'!N41:W41,Methodology!N$50:W$50)</f>
        <v>11</v>
      </c>
      <c r="H41" s="20">
        <f>SUMPRODUCT('Raw Scores (0-1)'!X41:AB41,Methodology!X$50:AB$50)</f>
        <v>0</v>
      </c>
      <c r="I41" s="20">
        <f>SUMPRODUCT('Raw Scores (0-1)'!AC41:AG41,Methodology!AC$50:AG$50)</f>
        <v>1.5</v>
      </c>
      <c r="J41" s="20">
        <f>SUMPRODUCT('Raw Scores (0-1)'!AH41:AJ41,Methodology!AH$50:AJ$50)</f>
        <v>10</v>
      </c>
      <c r="K41" s="23">
        <f t="shared" si="1"/>
        <v>40</v>
      </c>
    </row>
    <row r="42" ht="15.75" customHeight="1">
      <c r="A42" s="12">
        <v>41.0</v>
      </c>
      <c r="B42" s="6" t="s">
        <v>217</v>
      </c>
      <c r="C42" s="12" t="s">
        <v>154</v>
      </c>
      <c r="D42" s="12" t="s">
        <v>218</v>
      </c>
      <c r="E42" s="3" t="s">
        <v>219</v>
      </c>
      <c r="F42" s="20">
        <f>SUMPRODUCT('Raw Scores (0-1)'!F42:M42,Methodology!F$50:M$50)</f>
        <v>40</v>
      </c>
      <c r="G42" s="20">
        <f>SUMPRODUCT('Raw Scores (0-1)'!N42:W42,Methodology!N$50:W$50)</f>
        <v>4</v>
      </c>
      <c r="H42" s="20">
        <f>SUMPRODUCT('Raw Scores (0-1)'!X42:AB42,Methodology!X$50:AB$50)</f>
        <v>0</v>
      </c>
      <c r="I42" s="20">
        <f>SUMPRODUCT('Raw Scores (0-1)'!AC42:AG42,Methodology!AC$50:AG$50)</f>
        <v>3.5</v>
      </c>
      <c r="J42" s="20">
        <f>SUMPRODUCT('Raw Scores (0-1)'!AH42:AJ42,Methodology!AH$50:AJ$50)</f>
        <v>10</v>
      </c>
      <c r="K42" s="23">
        <f t="shared" si="1"/>
        <v>57.5</v>
      </c>
    </row>
    <row r="43" ht="15.75" customHeight="1">
      <c r="A43" s="12">
        <v>42.0</v>
      </c>
      <c r="B43" s="6" t="s">
        <v>220</v>
      </c>
      <c r="C43" s="12" t="s">
        <v>154</v>
      </c>
      <c r="D43" s="12" t="s">
        <v>221</v>
      </c>
      <c r="E43" s="3" t="s">
        <v>222</v>
      </c>
      <c r="F43" s="20">
        <f>SUMPRODUCT('Raw Scores (0-1)'!F43:M43,Methodology!F$50:M$50)</f>
        <v>32.5</v>
      </c>
      <c r="G43" s="20">
        <f>SUMPRODUCT('Raw Scores (0-1)'!N43:W43,Methodology!N$50:W$50)</f>
        <v>18</v>
      </c>
      <c r="H43" s="20">
        <f>SUMPRODUCT('Raw Scores (0-1)'!X43:AB43,Methodology!X$50:AB$50)</f>
        <v>8</v>
      </c>
      <c r="I43" s="20">
        <f>SUMPRODUCT('Raw Scores (0-1)'!AC43:AG43,Methodology!AC$50:AG$50)</f>
        <v>3</v>
      </c>
      <c r="J43" s="20">
        <f>SUMPRODUCT('Raw Scores (0-1)'!AH43:AJ43,Methodology!AH$50:AJ$50)</f>
        <v>8.5</v>
      </c>
      <c r="K43" s="23">
        <f t="shared" si="1"/>
        <v>70</v>
      </c>
    </row>
    <row r="44" ht="15.75" customHeight="1">
      <c r="A44" s="12">
        <v>43.0</v>
      </c>
      <c r="B44" s="6" t="s">
        <v>223</v>
      </c>
      <c r="C44" s="12" t="s">
        <v>186</v>
      </c>
      <c r="D44" s="12" t="s">
        <v>224</v>
      </c>
      <c r="E44" s="3" t="s">
        <v>225</v>
      </c>
      <c r="F44" s="20">
        <f>SUMPRODUCT('Raw Scores (0-1)'!F44:M44,Methodology!F$50:M$50)</f>
        <v>42.5</v>
      </c>
      <c r="G44" s="20">
        <f>SUMPRODUCT('Raw Scores (0-1)'!N44:W44,Methodology!N$50:W$50)</f>
        <v>20</v>
      </c>
      <c r="H44" s="20">
        <f>SUMPRODUCT('Raw Scores (0-1)'!X44:AB44,Methodology!X$50:AB$50)</f>
        <v>10</v>
      </c>
      <c r="I44" s="20">
        <f>SUMPRODUCT('Raw Scores (0-1)'!AC44:AG44,Methodology!AC$50:AG$50)</f>
        <v>10</v>
      </c>
      <c r="J44" s="20">
        <f>SUMPRODUCT('Raw Scores (0-1)'!AH44:AJ44,Methodology!AH$50:AJ$50)</f>
        <v>8.5</v>
      </c>
      <c r="K44" s="23">
        <f t="shared" si="1"/>
        <v>91</v>
      </c>
    </row>
    <row r="45" ht="15.75" customHeight="1">
      <c r="A45" s="12">
        <v>44.0</v>
      </c>
      <c r="B45" s="6" t="s">
        <v>226</v>
      </c>
      <c r="C45" s="12" t="s">
        <v>227</v>
      </c>
      <c r="D45" s="12" t="s">
        <v>228</v>
      </c>
      <c r="E45" s="3" t="s">
        <v>229</v>
      </c>
      <c r="F45" s="20">
        <f>SUMPRODUCT('Raw Scores (0-1)'!F45:M45,Methodology!F$50:M$50)</f>
        <v>15</v>
      </c>
      <c r="G45" s="20">
        <f>SUMPRODUCT('Raw Scores (0-1)'!N45:W45,Methodology!N$50:W$50)</f>
        <v>18</v>
      </c>
      <c r="H45" s="20">
        <f>SUMPRODUCT('Raw Scores (0-1)'!X45:AB45,Methodology!X$50:AB$50)</f>
        <v>10</v>
      </c>
      <c r="I45" s="20">
        <f>SUMPRODUCT('Raw Scores (0-1)'!AC45:AG45,Methodology!AC$50:AG$50)</f>
        <v>8.5</v>
      </c>
      <c r="J45" s="20">
        <f>SUMPRODUCT('Raw Scores (0-1)'!AH45:AJ45,Methodology!AH$50:AJ$50)</f>
        <v>7</v>
      </c>
      <c r="K45" s="23">
        <f t="shared" si="1"/>
        <v>58.5</v>
      </c>
    </row>
    <row r="46" ht="15.75" customHeight="1">
      <c r="A46" s="12">
        <v>45.0</v>
      </c>
      <c r="B46" s="6" t="s">
        <v>230</v>
      </c>
      <c r="C46" s="12" t="s">
        <v>119</v>
      </c>
      <c r="D46" s="12" t="s">
        <v>231</v>
      </c>
      <c r="E46" s="3" t="s">
        <v>232</v>
      </c>
      <c r="F46" s="20">
        <f>SUMPRODUCT('Raw Scores (0-1)'!F46:M46,Methodology!F$50:M$50)</f>
        <v>7.5</v>
      </c>
      <c r="G46" s="20">
        <f>SUMPRODUCT('Raw Scores (0-1)'!N46:W46,Methodology!N$50:W$50)</f>
        <v>20</v>
      </c>
      <c r="H46" s="20">
        <f>SUMPRODUCT('Raw Scores (0-1)'!X46:AB46,Methodology!X$50:AB$50)</f>
        <v>10</v>
      </c>
      <c r="I46" s="20">
        <f>SUMPRODUCT('Raw Scores (0-1)'!AC46:AG46,Methodology!AC$50:AG$50)</f>
        <v>8.5</v>
      </c>
      <c r="J46" s="20">
        <f>SUMPRODUCT('Raw Scores (0-1)'!AH46:AJ46,Methodology!AH$50:AJ$50)</f>
        <v>5</v>
      </c>
      <c r="K46" s="23">
        <f t="shared" si="1"/>
        <v>51</v>
      </c>
    </row>
    <row r="47" ht="15.75" customHeight="1">
      <c r="A47" s="12">
        <v>46.0</v>
      </c>
      <c r="B47" s="6" t="s">
        <v>233</v>
      </c>
      <c r="C47" s="12" t="s">
        <v>119</v>
      </c>
      <c r="D47" s="12" t="s">
        <v>234</v>
      </c>
      <c r="E47" s="3" t="s">
        <v>235</v>
      </c>
      <c r="F47" s="20">
        <f>SUMPRODUCT('Raw Scores (0-1)'!F47:M47,Methodology!F$50:M$50)</f>
        <v>7.5</v>
      </c>
      <c r="G47" s="20">
        <f>SUMPRODUCT('Raw Scores (0-1)'!N47:W47,Methodology!N$50:W$50)</f>
        <v>15</v>
      </c>
      <c r="H47" s="20">
        <f>SUMPRODUCT('Raw Scores (0-1)'!X47:AB47,Methodology!X$50:AB$50)</f>
        <v>0</v>
      </c>
      <c r="I47" s="20">
        <f>SUMPRODUCT('Raw Scores (0-1)'!AC47:AG47,Methodology!AC$50:AG$50)</f>
        <v>8.5</v>
      </c>
      <c r="J47" s="20">
        <f>SUMPRODUCT('Raw Scores (0-1)'!AH47:AJ47,Methodology!AH$50:AJ$50)</f>
        <v>8.5</v>
      </c>
      <c r="K47" s="23">
        <f t="shared" si="1"/>
        <v>39.5</v>
      </c>
    </row>
    <row r="48" ht="15.75" customHeight="1">
      <c r="A48" s="12">
        <v>47.0</v>
      </c>
      <c r="B48" s="6" t="s">
        <v>236</v>
      </c>
      <c r="C48" s="12" t="s">
        <v>119</v>
      </c>
      <c r="D48" s="12" t="s">
        <v>237</v>
      </c>
      <c r="E48" s="3" t="s">
        <v>238</v>
      </c>
      <c r="F48" s="20">
        <f>SUMPRODUCT('Raw Scores (0-1)'!F48:M48,Methodology!F$50:M$50)</f>
        <v>7.5</v>
      </c>
      <c r="G48" s="20">
        <f>SUMPRODUCT('Raw Scores (0-1)'!N48:W48,Methodology!N$50:W$50)</f>
        <v>18</v>
      </c>
      <c r="H48" s="20">
        <f>SUMPRODUCT('Raw Scores (0-1)'!X48:AB48,Methodology!X$50:AB$50)</f>
        <v>10</v>
      </c>
      <c r="I48" s="20">
        <f>SUMPRODUCT('Raw Scores (0-1)'!AC48:AG48,Methodology!AC$50:AG$50)</f>
        <v>9</v>
      </c>
      <c r="J48" s="20">
        <f>SUMPRODUCT('Raw Scores (0-1)'!AH48:AJ48,Methodology!AH$50:AJ$50)</f>
        <v>5.5</v>
      </c>
      <c r="K48" s="23">
        <f t="shared" si="1"/>
        <v>50</v>
      </c>
    </row>
    <row r="49" ht="15.75" customHeight="1">
      <c r="A49" s="12">
        <v>48.0</v>
      </c>
      <c r="B49" s="6" t="s">
        <v>239</v>
      </c>
      <c r="C49" s="12" t="s">
        <v>240</v>
      </c>
      <c r="D49" s="12" t="s">
        <v>51</v>
      </c>
      <c r="E49" s="3" t="s">
        <v>241</v>
      </c>
      <c r="F49" s="20">
        <f>SUMPRODUCT('Raw Scores (0-1)'!F49:M49,Methodology!F$50:M$50)</f>
        <v>2.5</v>
      </c>
      <c r="G49" s="20">
        <f>SUMPRODUCT('Raw Scores (0-1)'!N49:W49,Methodology!N$50:W$50)</f>
        <v>20</v>
      </c>
      <c r="H49" s="20">
        <f>SUMPRODUCT('Raw Scores (0-1)'!X49:AB49,Methodology!X$50:AB$50)</f>
        <v>8</v>
      </c>
      <c r="I49" s="20">
        <f>SUMPRODUCT('Raw Scores (0-1)'!AC49:AG49,Methodology!AC$50:AG$50)</f>
        <v>3</v>
      </c>
      <c r="J49" s="20">
        <f>SUMPRODUCT('Raw Scores (0-1)'!AH49:AJ49,Methodology!AH$50:AJ$50)</f>
        <v>5</v>
      </c>
      <c r="K49" s="23">
        <f t="shared" si="1"/>
        <v>38.5</v>
      </c>
    </row>
    <row r="50" ht="15.75" customHeight="1">
      <c r="A50" s="12">
        <v>49.0</v>
      </c>
      <c r="B50" s="6" t="s">
        <v>242</v>
      </c>
      <c r="C50" s="12" t="s">
        <v>243</v>
      </c>
      <c r="D50" s="12" t="s">
        <v>105</v>
      </c>
      <c r="E50" s="3" t="s">
        <v>244</v>
      </c>
      <c r="F50" s="20">
        <f>SUMPRODUCT('Raw Scores (0-1)'!F50:M50,Methodology!F$50:M$50)</f>
        <v>0</v>
      </c>
      <c r="G50" s="20">
        <f>SUMPRODUCT('Raw Scores (0-1)'!N50:W50,Methodology!N$50:W$50)</f>
        <v>11</v>
      </c>
      <c r="H50" s="20">
        <f>SUMPRODUCT('Raw Scores (0-1)'!X50:AB50,Methodology!X$50:AB$50)</f>
        <v>3</v>
      </c>
      <c r="I50" s="20">
        <f>SUMPRODUCT('Raw Scores (0-1)'!AC50:AG50,Methodology!AC$50:AG$50)</f>
        <v>5</v>
      </c>
      <c r="J50" s="20">
        <f>SUMPRODUCT('Raw Scores (0-1)'!AH50:AJ50,Methodology!AH$50:AJ$50)</f>
        <v>3</v>
      </c>
      <c r="K50" s="23">
        <f t="shared" si="1"/>
        <v>22</v>
      </c>
    </row>
    <row r="51" ht="15.75" customHeight="1">
      <c r="A51" s="12">
        <v>50.0</v>
      </c>
      <c r="B51" s="6" t="s">
        <v>245</v>
      </c>
      <c r="C51" s="12" t="s">
        <v>246</v>
      </c>
      <c r="D51" s="12" t="s">
        <v>247</v>
      </c>
      <c r="E51" s="3" t="s">
        <v>248</v>
      </c>
      <c r="F51" s="20">
        <f>SUMPRODUCT('Raw Scores (0-1)'!F51:M51,Methodology!F$50:M$50)</f>
        <v>7.5</v>
      </c>
      <c r="G51" s="20">
        <f>SUMPRODUCT('Raw Scores (0-1)'!N51:W51,Methodology!N$50:W$50)</f>
        <v>18</v>
      </c>
      <c r="H51" s="20">
        <f>SUMPRODUCT('Raw Scores (0-1)'!X51:AB51,Methodology!X$50:AB$50)</f>
        <v>7</v>
      </c>
      <c r="I51" s="20">
        <f>SUMPRODUCT('Raw Scores (0-1)'!AC51:AG51,Methodology!AC$50:AG$50)</f>
        <v>7.5</v>
      </c>
      <c r="J51" s="20">
        <f>SUMPRODUCT('Raw Scores (0-1)'!AH51:AJ51,Methodology!AH$50:AJ$50)</f>
        <v>5</v>
      </c>
      <c r="K51" s="23">
        <f t="shared" si="1"/>
        <v>45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20.0"/>
    <col customWidth="1" min="4" max="4" width="26.0"/>
    <col customWidth="1" min="5" max="5" width="42.0"/>
    <col customWidth="1" min="6" max="36" width="9.0"/>
  </cols>
  <sheetData>
    <row r="1" ht="90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4" t="s">
        <v>9</v>
      </c>
      <c r="G1" s="4" t="s">
        <v>12</v>
      </c>
      <c r="H1" s="4" t="s">
        <v>16</v>
      </c>
      <c r="I1" s="4" t="s">
        <v>18</v>
      </c>
      <c r="J1" s="4" t="s">
        <v>22</v>
      </c>
      <c r="K1" s="4" t="s">
        <v>26</v>
      </c>
      <c r="L1" s="4" t="s">
        <v>31</v>
      </c>
      <c r="M1" s="4" t="s">
        <v>34</v>
      </c>
      <c r="N1" s="11" t="s">
        <v>36</v>
      </c>
      <c r="O1" s="11" t="s">
        <v>40</v>
      </c>
      <c r="P1" s="11" t="s">
        <v>43</v>
      </c>
      <c r="Q1" s="11" t="s">
        <v>54</v>
      </c>
      <c r="R1" s="11" t="s">
        <v>57</v>
      </c>
      <c r="S1" s="11" t="s">
        <v>61</v>
      </c>
      <c r="T1" s="11" t="s">
        <v>63</v>
      </c>
      <c r="U1" s="11" t="s">
        <v>65</v>
      </c>
      <c r="V1" s="11" t="s">
        <v>67</v>
      </c>
      <c r="W1" s="11" t="s">
        <v>70</v>
      </c>
      <c r="X1" s="16" t="s">
        <v>72</v>
      </c>
      <c r="Y1" s="16" t="s">
        <v>74</v>
      </c>
      <c r="Z1" s="16" t="s">
        <v>76</v>
      </c>
      <c r="AA1" s="16" t="s">
        <v>79</v>
      </c>
      <c r="AB1" s="16" t="s">
        <v>82</v>
      </c>
      <c r="AC1" s="17" t="s">
        <v>84</v>
      </c>
      <c r="AD1" s="17" t="s">
        <v>85</v>
      </c>
      <c r="AE1" s="17" t="s">
        <v>87</v>
      </c>
      <c r="AF1" s="17" t="s">
        <v>89</v>
      </c>
      <c r="AG1" s="17" t="s">
        <v>90</v>
      </c>
      <c r="AH1" s="19" t="s">
        <v>92</v>
      </c>
      <c r="AI1" s="19" t="s">
        <v>93</v>
      </c>
      <c r="AJ1" s="19" t="s">
        <v>94</v>
      </c>
    </row>
    <row r="2">
      <c r="A2" s="12">
        <v>1.0</v>
      </c>
      <c r="B2" s="6" t="s">
        <v>47</v>
      </c>
      <c r="C2" s="12" t="s">
        <v>50</v>
      </c>
      <c r="D2" s="12" t="s">
        <v>51</v>
      </c>
      <c r="E2" s="3" t="s">
        <v>53</v>
      </c>
      <c r="F2" s="20">
        <v>1.0</v>
      </c>
      <c r="G2" s="20">
        <v>0.0</v>
      </c>
      <c r="H2" s="20">
        <v>0.5</v>
      </c>
      <c r="I2" s="20">
        <v>1.0</v>
      </c>
      <c r="J2" s="20">
        <v>0.0</v>
      </c>
      <c r="K2" s="20">
        <v>0.0</v>
      </c>
      <c r="L2" s="20">
        <v>0.0</v>
      </c>
      <c r="M2" s="20">
        <v>1.0</v>
      </c>
      <c r="N2" s="20">
        <v>1.0</v>
      </c>
      <c r="O2" s="20">
        <v>1.0</v>
      </c>
      <c r="P2" s="20">
        <v>1.0</v>
      </c>
      <c r="Q2" s="20">
        <v>1.0</v>
      </c>
      <c r="R2" s="20">
        <v>1.0</v>
      </c>
      <c r="S2" s="20">
        <v>1.0</v>
      </c>
      <c r="T2" s="20">
        <v>1.0</v>
      </c>
      <c r="U2" s="20">
        <v>1.0</v>
      </c>
      <c r="V2" s="20">
        <v>1.0</v>
      </c>
      <c r="W2" s="20">
        <v>1.0</v>
      </c>
      <c r="X2" s="20">
        <v>1.0</v>
      </c>
      <c r="Y2" s="20">
        <v>1.0</v>
      </c>
      <c r="Z2" s="20">
        <v>1.0</v>
      </c>
      <c r="AA2" s="20">
        <v>1.0</v>
      </c>
      <c r="AB2" s="20">
        <v>1.0</v>
      </c>
      <c r="AC2" s="20">
        <v>1.0</v>
      </c>
      <c r="AD2" s="20">
        <v>1.0</v>
      </c>
      <c r="AE2" s="20">
        <v>1.0</v>
      </c>
      <c r="AF2" s="20">
        <v>1.0</v>
      </c>
      <c r="AG2" s="20">
        <v>1.0</v>
      </c>
      <c r="AH2" s="20">
        <v>0.5</v>
      </c>
      <c r="AI2" s="20">
        <v>0.0</v>
      </c>
      <c r="AJ2" s="20">
        <v>0.0</v>
      </c>
    </row>
    <row r="3">
      <c r="A3" s="12">
        <v>2.0</v>
      </c>
      <c r="B3" s="6" t="s">
        <v>96</v>
      </c>
      <c r="C3" s="12" t="s">
        <v>50</v>
      </c>
      <c r="D3" s="12" t="s">
        <v>51</v>
      </c>
      <c r="E3" s="3" t="s">
        <v>97</v>
      </c>
      <c r="F3" s="20">
        <v>0.5</v>
      </c>
      <c r="G3" s="20">
        <v>0.0</v>
      </c>
      <c r="H3" s="20">
        <v>0.5</v>
      </c>
      <c r="I3" s="20">
        <v>0.5</v>
      </c>
      <c r="J3" s="20">
        <v>0.5</v>
      </c>
      <c r="K3" s="20">
        <v>0.0</v>
      </c>
      <c r="L3" s="20">
        <v>0.0</v>
      </c>
      <c r="M3" s="20">
        <v>1.0</v>
      </c>
      <c r="N3" s="20">
        <v>1.0</v>
      </c>
      <c r="O3" s="20">
        <v>1.0</v>
      </c>
      <c r="P3" s="20">
        <v>1.0</v>
      </c>
      <c r="Q3" s="20">
        <v>1.0</v>
      </c>
      <c r="R3" s="20">
        <v>1.0</v>
      </c>
      <c r="S3" s="20">
        <v>1.0</v>
      </c>
      <c r="T3" s="20">
        <v>1.0</v>
      </c>
      <c r="U3" s="20">
        <v>1.0</v>
      </c>
      <c r="V3" s="20">
        <v>1.0</v>
      </c>
      <c r="W3" s="20">
        <v>1.0</v>
      </c>
      <c r="X3" s="20">
        <v>1.0</v>
      </c>
      <c r="Y3" s="20">
        <v>1.0</v>
      </c>
      <c r="Z3" s="20">
        <v>1.0</v>
      </c>
      <c r="AA3" s="20">
        <v>1.0</v>
      </c>
      <c r="AB3" s="20">
        <v>1.0</v>
      </c>
      <c r="AC3" s="20">
        <v>1.0</v>
      </c>
      <c r="AD3" s="20">
        <v>1.0</v>
      </c>
      <c r="AE3" s="20">
        <v>1.0</v>
      </c>
      <c r="AF3" s="20">
        <v>1.0</v>
      </c>
      <c r="AG3" s="20">
        <v>1.0</v>
      </c>
      <c r="AH3" s="20">
        <v>0.0</v>
      </c>
      <c r="AI3" s="20">
        <v>0.0</v>
      </c>
      <c r="AJ3" s="20">
        <v>0.0</v>
      </c>
    </row>
    <row r="4">
      <c r="A4" s="12">
        <v>3.0</v>
      </c>
      <c r="B4" s="6" t="s">
        <v>98</v>
      </c>
      <c r="C4" s="12" t="s">
        <v>50</v>
      </c>
      <c r="D4" s="12" t="s">
        <v>99</v>
      </c>
      <c r="E4" s="3" t="s">
        <v>100</v>
      </c>
      <c r="F4" s="20">
        <v>0.5</v>
      </c>
      <c r="G4" s="20">
        <v>1.0</v>
      </c>
      <c r="H4" s="20">
        <v>0.5</v>
      </c>
      <c r="I4" s="20">
        <v>0.5</v>
      </c>
      <c r="J4" s="20">
        <v>0.0</v>
      </c>
      <c r="K4" s="20">
        <v>0.0</v>
      </c>
      <c r="L4" s="20">
        <v>0.0</v>
      </c>
      <c r="M4" s="20">
        <v>1.0</v>
      </c>
      <c r="N4" s="20">
        <v>1.0</v>
      </c>
      <c r="O4" s="20">
        <v>1.0</v>
      </c>
      <c r="P4" s="20">
        <v>1.0</v>
      </c>
      <c r="Q4" s="20">
        <v>1.0</v>
      </c>
      <c r="R4" s="20">
        <v>1.0</v>
      </c>
      <c r="S4" s="20">
        <v>1.0</v>
      </c>
      <c r="T4" s="20">
        <v>1.0</v>
      </c>
      <c r="U4" s="20">
        <v>1.0</v>
      </c>
      <c r="V4" s="20">
        <v>1.0</v>
      </c>
      <c r="W4" s="20">
        <v>1.0</v>
      </c>
      <c r="X4" s="20">
        <v>1.0</v>
      </c>
      <c r="Y4" s="20">
        <v>1.0</v>
      </c>
      <c r="Z4" s="20">
        <v>1.0</v>
      </c>
      <c r="AA4" s="20">
        <v>1.0</v>
      </c>
      <c r="AB4" s="20">
        <v>1.0</v>
      </c>
      <c r="AC4" s="20">
        <v>1.0</v>
      </c>
      <c r="AD4" s="20">
        <v>1.0</v>
      </c>
      <c r="AE4" s="20">
        <v>1.0</v>
      </c>
      <c r="AF4" s="20">
        <v>1.0</v>
      </c>
      <c r="AG4" s="20">
        <v>1.0</v>
      </c>
      <c r="AH4" s="20">
        <v>0.5</v>
      </c>
      <c r="AI4" s="20">
        <v>1.0</v>
      </c>
      <c r="AJ4" s="20">
        <v>0.5</v>
      </c>
    </row>
    <row r="5">
      <c r="A5" s="12">
        <v>4.0</v>
      </c>
      <c r="B5" s="6" t="s">
        <v>101</v>
      </c>
      <c r="C5" s="12" t="s">
        <v>50</v>
      </c>
      <c r="D5" s="12" t="s">
        <v>102</v>
      </c>
      <c r="E5" s="3" t="s">
        <v>103</v>
      </c>
      <c r="F5" s="20">
        <v>0.5</v>
      </c>
      <c r="G5" s="20">
        <v>0.0</v>
      </c>
      <c r="H5" s="20">
        <v>0.0</v>
      </c>
      <c r="I5" s="20">
        <v>1.0</v>
      </c>
      <c r="J5" s="20">
        <v>0.5</v>
      </c>
      <c r="K5" s="20">
        <v>0.0</v>
      </c>
      <c r="L5" s="20">
        <v>0.0</v>
      </c>
      <c r="M5" s="20">
        <v>0.0</v>
      </c>
      <c r="N5" s="20">
        <v>1.0</v>
      </c>
      <c r="O5" s="20">
        <v>1.0</v>
      </c>
      <c r="P5" s="20">
        <v>1.0</v>
      </c>
      <c r="Q5" s="20">
        <v>1.0</v>
      </c>
      <c r="R5" s="20">
        <v>1.0</v>
      </c>
      <c r="S5" s="20">
        <v>1.0</v>
      </c>
      <c r="T5" s="20">
        <v>1.0</v>
      </c>
      <c r="U5" s="20">
        <v>1.0</v>
      </c>
      <c r="V5" s="20">
        <v>1.0</v>
      </c>
      <c r="W5" s="20">
        <v>1.0</v>
      </c>
      <c r="X5" s="20">
        <v>1.0</v>
      </c>
      <c r="Y5" s="20">
        <v>1.0</v>
      </c>
      <c r="Z5" s="20">
        <v>1.0</v>
      </c>
      <c r="AA5" s="20">
        <v>1.0</v>
      </c>
      <c r="AB5" s="20">
        <v>1.0</v>
      </c>
      <c r="AC5" s="20">
        <v>1.0</v>
      </c>
      <c r="AD5" s="20">
        <v>0.0</v>
      </c>
      <c r="AE5" s="20">
        <v>1.0</v>
      </c>
      <c r="AF5" s="20">
        <v>0.0</v>
      </c>
      <c r="AG5" s="20">
        <v>0.0</v>
      </c>
      <c r="AH5" s="20">
        <v>1.0</v>
      </c>
      <c r="AI5" s="20">
        <v>1.0</v>
      </c>
      <c r="AJ5" s="20">
        <v>0.5</v>
      </c>
    </row>
    <row r="6">
      <c r="A6" s="12">
        <v>5.0</v>
      </c>
      <c r="B6" s="6" t="s">
        <v>104</v>
      </c>
      <c r="C6" s="12" t="s">
        <v>50</v>
      </c>
      <c r="D6" s="12" t="s">
        <v>105</v>
      </c>
      <c r="E6" s="3" t="s">
        <v>106</v>
      </c>
      <c r="F6" s="20">
        <v>0.5</v>
      </c>
      <c r="G6" s="20">
        <v>0.0</v>
      </c>
      <c r="H6" s="20">
        <v>1.0</v>
      </c>
      <c r="I6" s="20">
        <v>0.5</v>
      </c>
      <c r="J6" s="20">
        <v>0.0</v>
      </c>
      <c r="K6" s="20">
        <v>0.0</v>
      </c>
      <c r="L6" s="20">
        <v>0.0</v>
      </c>
      <c r="M6" s="20">
        <v>0.0</v>
      </c>
      <c r="N6" s="20">
        <v>1.0</v>
      </c>
      <c r="O6" s="20">
        <v>1.0</v>
      </c>
      <c r="P6" s="20">
        <v>1.0</v>
      </c>
      <c r="Q6" s="20">
        <v>1.0</v>
      </c>
      <c r="R6" s="20">
        <v>1.0</v>
      </c>
      <c r="S6" s="20">
        <v>1.0</v>
      </c>
      <c r="T6" s="20">
        <v>1.0</v>
      </c>
      <c r="U6" s="20">
        <v>1.0</v>
      </c>
      <c r="V6" s="20">
        <v>1.0</v>
      </c>
      <c r="W6" s="20">
        <v>1.0</v>
      </c>
      <c r="X6" s="20">
        <v>0.5</v>
      </c>
      <c r="Y6" s="20">
        <v>0.5</v>
      </c>
      <c r="Z6" s="20">
        <v>0.0</v>
      </c>
      <c r="AA6" s="20">
        <v>0.0</v>
      </c>
      <c r="AB6" s="20">
        <v>0.0</v>
      </c>
      <c r="AC6" s="20">
        <v>0.0</v>
      </c>
      <c r="AD6" s="20">
        <v>1.0</v>
      </c>
      <c r="AE6" s="20">
        <v>0.0</v>
      </c>
      <c r="AF6" s="20">
        <v>1.0</v>
      </c>
      <c r="AG6" s="20">
        <v>0.5</v>
      </c>
      <c r="AH6" s="20">
        <v>1.0</v>
      </c>
      <c r="AI6" s="20">
        <v>0.5</v>
      </c>
      <c r="AJ6" s="20">
        <v>0.0</v>
      </c>
    </row>
    <row r="7">
      <c r="A7" s="12">
        <v>6.0</v>
      </c>
      <c r="B7" s="6" t="s">
        <v>109</v>
      </c>
      <c r="C7" s="12" t="s">
        <v>50</v>
      </c>
      <c r="D7" s="12" t="s">
        <v>110</v>
      </c>
      <c r="E7" s="3" t="s">
        <v>111</v>
      </c>
      <c r="F7" s="20">
        <v>0.5</v>
      </c>
      <c r="G7" s="20">
        <v>0.0</v>
      </c>
      <c r="H7" s="20">
        <v>0.0</v>
      </c>
      <c r="I7" s="20">
        <v>0.0</v>
      </c>
      <c r="J7" s="20">
        <v>1.0</v>
      </c>
      <c r="K7" s="20">
        <v>0.0</v>
      </c>
      <c r="L7" s="20">
        <v>0.0</v>
      </c>
      <c r="M7" s="20">
        <v>1.0</v>
      </c>
      <c r="N7" s="20">
        <v>1.0</v>
      </c>
      <c r="O7" s="20">
        <v>1.0</v>
      </c>
      <c r="P7" s="20">
        <v>1.0</v>
      </c>
      <c r="Q7" s="20">
        <v>1.0</v>
      </c>
      <c r="R7" s="20">
        <v>1.0</v>
      </c>
      <c r="S7" s="20">
        <v>1.0</v>
      </c>
      <c r="T7" s="20">
        <v>1.0</v>
      </c>
      <c r="U7" s="20">
        <v>1.0</v>
      </c>
      <c r="V7" s="20">
        <v>0.5</v>
      </c>
      <c r="W7" s="20">
        <v>1.0</v>
      </c>
      <c r="X7" s="20">
        <v>1.0</v>
      </c>
      <c r="Y7" s="20">
        <v>1.0</v>
      </c>
      <c r="Z7" s="20">
        <v>1.0</v>
      </c>
      <c r="AA7" s="20">
        <v>1.0</v>
      </c>
      <c r="AB7" s="20">
        <v>1.0</v>
      </c>
      <c r="AC7" s="20">
        <v>1.0</v>
      </c>
      <c r="AD7" s="20">
        <v>1.0</v>
      </c>
      <c r="AE7" s="20">
        <v>0.0</v>
      </c>
      <c r="AF7" s="20">
        <v>1.0</v>
      </c>
      <c r="AG7" s="20">
        <v>1.0</v>
      </c>
      <c r="AH7" s="20">
        <v>0.0</v>
      </c>
      <c r="AI7" s="20">
        <v>0.0</v>
      </c>
      <c r="AJ7" s="20">
        <v>0.0</v>
      </c>
    </row>
    <row r="8">
      <c r="A8" s="12">
        <v>7.0</v>
      </c>
      <c r="B8" s="6" t="s">
        <v>112</v>
      </c>
      <c r="C8" s="12" t="s">
        <v>113</v>
      </c>
      <c r="D8" s="12" t="s">
        <v>51</v>
      </c>
      <c r="E8" s="3" t="s">
        <v>114</v>
      </c>
      <c r="F8" s="20">
        <v>0.0</v>
      </c>
      <c r="G8" s="20">
        <v>0.0</v>
      </c>
      <c r="H8" s="20">
        <v>0.0</v>
      </c>
      <c r="I8" s="20">
        <v>0.0</v>
      </c>
      <c r="J8" s="20">
        <v>1.0</v>
      </c>
      <c r="K8" s="20">
        <v>0.0</v>
      </c>
      <c r="L8" s="20">
        <v>0.0</v>
      </c>
      <c r="M8" s="20">
        <v>1.0</v>
      </c>
      <c r="N8" s="20">
        <v>1.0</v>
      </c>
      <c r="O8" s="20">
        <v>1.0</v>
      </c>
      <c r="P8" s="20">
        <v>1.0</v>
      </c>
      <c r="Q8" s="20">
        <v>1.0</v>
      </c>
      <c r="R8" s="20">
        <v>1.0</v>
      </c>
      <c r="S8" s="20">
        <v>1.0</v>
      </c>
      <c r="T8" s="20">
        <v>1.0</v>
      </c>
      <c r="U8" s="20">
        <v>1.0</v>
      </c>
      <c r="V8" s="20">
        <v>1.0</v>
      </c>
      <c r="W8" s="20">
        <v>1.0</v>
      </c>
      <c r="X8" s="20">
        <v>1.0</v>
      </c>
      <c r="Y8" s="20">
        <v>1.0</v>
      </c>
      <c r="Z8" s="20">
        <v>1.0</v>
      </c>
      <c r="AA8" s="20">
        <v>1.0</v>
      </c>
      <c r="AB8" s="20">
        <v>1.0</v>
      </c>
      <c r="AC8" s="20">
        <v>1.0</v>
      </c>
      <c r="AD8" s="20">
        <v>1.0</v>
      </c>
      <c r="AE8" s="20">
        <v>0.5</v>
      </c>
      <c r="AF8" s="20">
        <v>1.0</v>
      </c>
      <c r="AG8" s="20">
        <v>1.0</v>
      </c>
      <c r="AH8" s="20">
        <v>0.0</v>
      </c>
      <c r="AI8" s="20">
        <v>0.0</v>
      </c>
      <c r="AJ8" s="20">
        <v>0.0</v>
      </c>
    </row>
    <row r="9">
      <c r="A9" s="12">
        <v>8.0</v>
      </c>
      <c r="B9" s="6" t="s">
        <v>115</v>
      </c>
      <c r="C9" s="12" t="s">
        <v>50</v>
      </c>
      <c r="D9" s="12" t="s">
        <v>116</v>
      </c>
      <c r="E9" s="3" t="s">
        <v>117</v>
      </c>
      <c r="F9" s="20">
        <v>0.5</v>
      </c>
      <c r="G9" s="20">
        <v>0.0</v>
      </c>
      <c r="H9" s="20">
        <v>0.5</v>
      </c>
      <c r="I9" s="20">
        <v>1.0</v>
      </c>
      <c r="J9" s="20">
        <v>1.0</v>
      </c>
      <c r="K9" s="20">
        <v>0.0</v>
      </c>
      <c r="L9" s="20">
        <v>0.0</v>
      </c>
      <c r="M9" s="20">
        <v>0.0</v>
      </c>
      <c r="N9" s="20">
        <v>1.0</v>
      </c>
      <c r="O9" s="20">
        <v>1.0</v>
      </c>
      <c r="P9" s="20">
        <v>1.0</v>
      </c>
      <c r="Q9" s="20">
        <v>1.0</v>
      </c>
      <c r="R9" s="20">
        <v>1.0</v>
      </c>
      <c r="S9" s="20">
        <v>1.0</v>
      </c>
      <c r="T9" s="20">
        <v>1.0</v>
      </c>
      <c r="U9" s="20">
        <v>1.0</v>
      </c>
      <c r="V9" s="20">
        <v>1.0</v>
      </c>
      <c r="W9" s="20">
        <v>1.0</v>
      </c>
      <c r="X9" s="20">
        <v>1.0</v>
      </c>
      <c r="Y9" s="20">
        <v>1.0</v>
      </c>
      <c r="Z9" s="20">
        <v>1.0</v>
      </c>
      <c r="AA9" s="20">
        <v>1.0</v>
      </c>
      <c r="AB9" s="20">
        <v>1.0</v>
      </c>
      <c r="AC9" s="20">
        <v>1.0</v>
      </c>
      <c r="AD9" s="20">
        <v>1.0</v>
      </c>
      <c r="AE9" s="20">
        <v>1.0</v>
      </c>
      <c r="AF9" s="20">
        <v>1.0</v>
      </c>
      <c r="AG9" s="20">
        <v>1.0</v>
      </c>
      <c r="AH9" s="20">
        <v>0.5</v>
      </c>
      <c r="AI9" s="20">
        <v>1.0</v>
      </c>
      <c r="AJ9" s="20">
        <v>0.0</v>
      </c>
    </row>
    <row r="10">
      <c r="A10" s="12">
        <v>9.0</v>
      </c>
      <c r="B10" s="6" t="s">
        <v>118</v>
      </c>
      <c r="C10" s="12" t="s">
        <v>119</v>
      </c>
      <c r="D10" s="12" t="s">
        <v>120</v>
      </c>
      <c r="E10" s="3" t="s">
        <v>121</v>
      </c>
      <c r="F10" s="20">
        <v>0.0</v>
      </c>
      <c r="G10" s="20">
        <v>0.0</v>
      </c>
      <c r="H10" s="20">
        <v>0.0</v>
      </c>
      <c r="I10" s="20">
        <v>0.0</v>
      </c>
      <c r="J10" s="20">
        <v>1.0</v>
      </c>
      <c r="K10" s="20">
        <v>0.0</v>
      </c>
      <c r="L10" s="20">
        <v>0.0</v>
      </c>
      <c r="M10" s="20">
        <v>0.0</v>
      </c>
      <c r="N10" s="20">
        <v>1.0</v>
      </c>
      <c r="O10" s="20">
        <v>1.0</v>
      </c>
      <c r="P10" s="20">
        <v>1.0</v>
      </c>
      <c r="Q10" s="20">
        <v>1.0</v>
      </c>
      <c r="R10" s="20">
        <v>1.0</v>
      </c>
      <c r="S10" s="20">
        <v>1.0</v>
      </c>
      <c r="T10" s="20">
        <v>1.0</v>
      </c>
      <c r="U10" s="20">
        <v>1.0</v>
      </c>
      <c r="V10" s="20">
        <v>1.0</v>
      </c>
      <c r="W10" s="20">
        <v>1.0</v>
      </c>
      <c r="X10" s="20">
        <v>1.0</v>
      </c>
      <c r="Y10" s="20">
        <v>1.0</v>
      </c>
      <c r="Z10" s="20">
        <v>1.0</v>
      </c>
      <c r="AA10" s="20">
        <v>1.0</v>
      </c>
      <c r="AB10" s="20">
        <v>1.0</v>
      </c>
      <c r="AC10" s="20">
        <v>1.0</v>
      </c>
      <c r="AD10" s="20">
        <v>1.0</v>
      </c>
      <c r="AE10" s="20">
        <v>1.0</v>
      </c>
      <c r="AF10" s="20">
        <v>1.0</v>
      </c>
      <c r="AG10" s="20">
        <v>1.0</v>
      </c>
      <c r="AH10" s="20">
        <v>1.0</v>
      </c>
      <c r="AI10" s="20">
        <v>1.0</v>
      </c>
      <c r="AJ10" s="20">
        <v>0.0</v>
      </c>
    </row>
    <row r="11">
      <c r="A11" s="12">
        <v>10.0</v>
      </c>
      <c r="B11" s="6" t="s">
        <v>122</v>
      </c>
      <c r="C11" s="12" t="s">
        <v>119</v>
      </c>
      <c r="D11" s="12" t="s">
        <v>123</v>
      </c>
      <c r="E11" s="3" t="s">
        <v>124</v>
      </c>
      <c r="F11" s="20">
        <v>0.0</v>
      </c>
      <c r="G11" s="20">
        <v>0.0</v>
      </c>
      <c r="H11" s="20">
        <v>0.0</v>
      </c>
      <c r="I11" s="20">
        <v>0.0</v>
      </c>
      <c r="J11" s="20">
        <v>1.0</v>
      </c>
      <c r="K11" s="20">
        <v>0.0</v>
      </c>
      <c r="L11" s="20">
        <v>0.0</v>
      </c>
      <c r="M11" s="20">
        <v>0.0</v>
      </c>
      <c r="N11" s="20">
        <v>1.0</v>
      </c>
      <c r="O11" s="20">
        <v>1.0</v>
      </c>
      <c r="P11" s="20">
        <v>1.0</v>
      </c>
      <c r="Q11" s="20">
        <v>1.0</v>
      </c>
      <c r="R11" s="20">
        <v>1.0</v>
      </c>
      <c r="S11" s="20">
        <v>1.0</v>
      </c>
      <c r="T11" s="20">
        <v>1.0</v>
      </c>
      <c r="U11" s="20">
        <v>1.0</v>
      </c>
      <c r="V11" s="20">
        <v>1.0</v>
      </c>
      <c r="W11" s="20">
        <v>1.0</v>
      </c>
      <c r="X11" s="20">
        <v>1.0</v>
      </c>
      <c r="Y11" s="20">
        <v>1.0</v>
      </c>
      <c r="Z11" s="20">
        <v>1.0</v>
      </c>
      <c r="AA11" s="20">
        <v>1.0</v>
      </c>
      <c r="AB11" s="20">
        <v>1.0</v>
      </c>
      <c r="AC11" s="20">
        <v>1.0</v>
      </c>
      <c r="AD11" s="20">
        <v>1.0</v>
      </c>
      <c r="AE11" s="20">
        <v>1.0</v>
      </c>
      <c r="AF11" s="20">
        <v>1.0</v>
      </c>
      <c r="AG11" s="20">
        <v>1.0</v>
      </c>
      <c r="AH11" s="20">
        <v>1.0</v>
      </c>
      <c r="AI11" s="20">
        <v>1.0</v>
      </c>
      <c r="AJ11" s="20">
        <v>0.0</v>
      </c>
    </row>
    <row r="12">
      <c r="A12" s="12">
        <v>11.0</v>
      </c>
      <c r="B12" s="6" t="s">
        <v>125</v>
      </c>
      <c r="C12" s="12" t="s">
        <v>50</v>
      </c>
      <c r="D12" s="12" t="s">
        <v>126</v>
      </c>
      <c r="E12" s="3" t="s">
        <v>127</v>
      </c>
      <c r="F12" s="20">
        <v>1.0</v>
      </c>
      <c r="G12" s="20">
        <v>0.0</v>
      </c>
      <c r="H12" s="20">
        <v>0.0</v>
      </c>
      <c r="I12" s="20">
        <v>0.0</v>
      </c>
      <c r="J12" s="20">
        <v>0.0</v>
      </c>
      <c r="K12" s="20">
        <v>0.5</v>
      </c>
      <c r="L12" s="20">
        <v>0.0</v>
      </c>
      <c r="M12" s="20">
        <v>1.0</v>
      </c>
      <c r="N12" s="20">
        <v>1.0</v>
      </c>
      <c r="O12" s="20">
        <v>1.0</v>
      </c>
      <c r="P12" s="20">
        <v>1.0</v>
      </c>
      <c r="Q12" s="20">
        <v>1.0</v>
      </c>
      <c r="R12" s="20">
        <v>1.0</v>
      </c>
      <c r="S12" s="20">
        <v>1.0</v>
      </c>
      <c r="T12" s="20">
        <v>1.0</v>
      </c>
      <c r="U12" s="20">
        <v>1.0</v>
      </c>
      <c r="V12" s="20">
        <v>1.0</v>
      </c>
      <c r="W12" s="20">
        <v>1.0</v>
      </c>
      <c r="X12" s="20">
        <v>1.0</v>
      </c>
      <c r="Y12" s="20">
        <v>1.0</v>
      </c>
      <c r="Z12" s="20">
        <v>1.0</v>
      </c>
      <c r="AA12" s="20">
        <v>1.0</v>
      </c>
      <c r="AB12" s="20">
        <v>1.0</v>
      </c>
      <c r="AC12" s="20">
        <v>1.0</v>
      </c>
      <c r="AD12" s="20">
        <v>1.0</v>
      </c>
      <c r="AE12" s="20">
        <v>1.0</v>
      </c>
      <c r="AF12" s="20">
        <v>0.0</v>
      </c>
      <c r="AG12" s="20">
        <v>1.0</v>
      </c>
      <c r="AH12" s="20">
        <v>0.5</v>
      </c>
      <c r="AI12" s="20">
        <v>0.5</v>
      </c>
      <c r="AJ12" s="20">
        <v>0.0</v>
      </c>
    </row>
    <row r="13">
      <c r="A13" s="12">
        <v>12.0</v>
      </c>
      <c r="B13" s="6" t="s">
        <v>128</v>
      </c>
      <c r="C13" s="12" t="s">
        <v>113</v>
      </c>
      <c r="D13" s="12" t="s">
        <v>51</v>
      </c>
      <c r="E13" s="3" t="s">
        <v>129</v>
      </c>
      <c r="F13" s="20">
        <v>0.0</v>
      </c>
      <c r="G13" s="20">
        <v>0.0</v>
      </c>
      <c r="H13" s="20">
        <v>0.0</v>
      </c>
      <c r="I13" s="20">
        <v>0.0</v>
      </c>
      <c r="J13" s="20">
        <v>1.0</v>
      </c>
      <c r="K13" s="20">
        <v>0.0</v>
      </c>
      <c r="L13" s="20">
        <v>0.0</v>
      </c>
      <c r="M13" s="20">
        <v>0.0</v>
      </c>
      <c r="N13" s="20">
        <v>1.0</v>
      </c>
      <c r="O13" s="20">
        <v>1.0</v>
      </c>
      <c r="P13" s="20">
        <v>1.0</v>
      </c>
      <c r="Q13" s="20">
        <v>0.0</v>
      </c>
      <c r="R13" s="20">
        <v>1.0</v>
      </c>
      <c r="S13" s="20">
        <v>1.0</v>
      </c>
      <c r="T13" s="20">
        <v>1.0</v>
      </c>
      <c r="U13" s="20">
        <v>1.0</v>
      </c>
      <c r="V13" s="20">
        <v>1.0</v>
      </c>
      <c r="W13" s="20">
        <v>1.0</v>
      </c>
      <c r="X13" s="20">
        <v>0.0</v>
      </c>
      <c r="Y13" s="20">
        <v>0.0</v>
      </c>
      <c r="Z13" s="20">
        <v>0.0</v>
      </c>
      <c r="AA13" s="20">
        <v>0.0</v>
      </c>
      <c r="AB13" s="20">
        <v>0.0</v>
      </c>
      <c r="AC13" s="20">
        <v>1.0</v>
      </c>
      <c r="AD13" s="20">
        <v>1.0</v>
      </c>
      <c r="AE13" s="20">
        <v>0.0</v>
      </c>
      <c r="AF13" s="20">
        <v>1.0</v>
      </c>
      <c r="AG13" s="20">
        <v>0.5</v>
      </c>
      <c r="AH13" s="20">
        <v>0.0</v>
      </c>
      <c r="AI13" s="20">
        <v>0.0</v>
      </c>
      <c r="AJ13" s="20">
        <v>0.0</v>
      </c>
    </row>
    <row r="14">
      <c r="A14" s="12">
        <v>13.0</v>
      </c>
      <c r="B14" s="6" t="s">
        <v>130</v>
      </c>
      <c r="C14" s="12" t="s">
        <v>113</v>
      </c>
      <c r="D14" s="12" t="s">
        <v>131</v>
      </c>
      <c r="E14" s="3" t="s">
        <v>132</v>
      </c>
      <c r="F14" s="20">
        <v>1.0</v>
      </c>
      <c r="G14" s="20">
        <v>0.0</v>
      </c>
      <c r="H14" s="20">
        <v>0.0</v>
      </c>
      <c r="I14" s="20">
        <v>0.0</v>
      </c>
      <c r="J14" s="20">
        <v>0.5</v>
      </c>
      <c r="K14" s="20">
        <v>0.0</v>
      </c>
      <c r="L14" s="20">
        <v>0.0</v>
      </c>
      <c r="M14" s="20">
        <v>1.0</v>
      </c>
      <c r="N14" s="20">
        <v>1.0</v>
      </c>
      <c r="O14" s="20">
        <v>1.0</v>
      </c>
      <c r="P14" s="20">
        <v>1.0</v>
      </c>
      <c r="Q14" s="20">
        <v>1.0</v>
      </c>
      <c r="R14" s="20">
        <v>1.0</v>
      </c>
      <c r="S14" s="20">
        <v>1.0</v>
      </c>
      <c r="T14" s="20">
        <v>1.0</v>
      </c>
      <c r="U14" s="20">
        <v>1.0</v>
      </c>
      <c r="V14" s="20">
        <v>1.0</v>
      </c>
      <c r="W14" s="20">
        <v>1.0</v>
      </c>
      <c r="X14" s="20">
        <v>1.0</v>
      </c>
      <c r="Y14" s="20">
        <v>1.0</v>
      </c>
      <c r="Z14" s="20">
        <v>1.0</v>
      </c>
      <c r="AA14" s="20">
        <v>1.0</v>
      </c>
      <c r="AB14" s="20">
        <v>0.0</v>
      </c>
      <c r="AC14" s="20">
        <v>1.0</v>
      </c>
      <c r="AD14" s="20">
        <v>1.0</v>
      </c>
      <c r="AE14" s="20">
        <v>0.0</v>
      </c>
      <c r="AF14" s="20">
        <v>1.0</v>
      </c>
      <c r="AG14" s="20">
        <v>0.5</v>
      </c>
      <c r="AH14" s="20">
        <v>0.0</v>
      </c>
      <c r="AI14" s="20">
        <v>0.0</v>
      </c>
      <c r="AJ14" s="20">
        <v>0.0</v>
      </c>
    </row>
    <row r="15">
      <c r="A15" s="12">
        <v>14.0</v>
      </c>
      <c r="B15" s="6" t="s">
        <v>133</v>
      </c>
      <c r="C15" s="12" t="s">
        <v>113</v>
      </c>
      <c r="D15" s="12" t="s">
        <v>120</v>
      </c>
      <c r="E15" s="3" t="s">
        <v>134</v>
      </c>
      <c r="F15" s="20">
        <v>0.0</v>
      </c>
      <c r="G15" s="20">
        <v>0.0</v>
      </c>
      <c r="H15" s="20">
        <v>0.0</v>
      </c>
      <c r="I15" s="20">
        <v>0.5</v>
      </c>
      <c r="J15" s="20">
        <v>1.0</v>
      </c>
      <c r="K15" s="20">
        <v>0.0</v>
      </c>
      <c r="L15" s="20">
        <v>0.0</v>
      </c>
      <c r="M15" s="20">
        <v>0.0</v>
      </c>
      <c r="N15" s="20">
        <v>1.0</v>
      </c>
      <c r="O15" s="20">
        <v>1.0</v>
      </c>
      <c r="P15" s="20">
        <v>1.0</v>
      </c>
      <c r="Q15" s="20">
        <v>1.0</v>
      </c>
      <c r="R15" s="20">
        <v>1.0</v>
      </c>
      <c r="S15" s="20">
        <v>1.0</v>
      </c>
      <c r="T15" s="20">
        <v>1.0</v>
      </c>
      <c r="U15" s="20">
        <v>1.0</v>
      </c>
      <c r="V15" s="20">
        <v>1.0</v>
      </c>
      <c r="W15" s="20">
        <v>1.0</v>
      </c>
      <c r="X15" s="20">
        <v>1.0</v>
      </c>
      <c r="Y15" s="20">
        <v>1.0</v>
      </c>
      <c r="Z15" s="20">
        <v>1.0</v>
      </c>
      <c r="AA15" s="20">
        <v>1.0</v>
      </c>
      <c r="AB15" s="20">
        <v>1.0</v>
      </c>
      <c r="AC15" s="20">
        <v>1.0</v>
      </c>
      <c r="AD15" s="20">
        <v>1.0</v>
      </c>
      <c r="AE15" s="20">
        <v>0.5</v>
      </c>
      <c r="AF15" s="20">
        <v>1.0</v>
      </c>
      <c r="AG15" s="20">
        <v>0.5</v>
      </c>
      <c r="AH15" s="20">
        <v>0.0</v>
      </c>
      <c r="AI15" s="20">
        <v>0.0</v>
      </c>
      <c r="AJ15" s="20">
        <v>0.0</v>
      </c>
    </row>
    <row r="16">
      <c r="A16" s="12">
        <v>15.0</v>
      </c>
      <c r="B16" s="6" t="s">
        <v>135</v>
      </c>
      <c r="C16" s="12" t="s">
        <v>113</v>
      </c>
      <c r="D16" s="12" t="s">
        <v>136</v>
      </c>
      <c r="E16" s="3" t="s">
        <v>137</v>
      </c>
      <c r="F16" s="20">
        <v>0.0</v>
      </c>
      <c r="G16" s="20">
        <v>0.0</v>
      </c>
      <c r="H16" s="20">
        <v>0.0</v>
      </c>
      <c r="I16" s="20">
        <v>0.5</v>
      </c>
      <c r="J16" s="20">
        <v>1.0</v>
      </c>
      <c r="K16" s="20">
        <v>0.0</v>
      </c>
      <c r="L16" s="20">
        <v>0.0</v>
      </c>
      <c r="M16" s="20">
        <v>0.0</v>
      </c>
      <c r="N16" s="20">
        <v>1.0</v>
      </c>
      <c r="O16" s="20">
        <v>1.0</v>
      </c>
      <c r="P16" s="20">
        <v>1.0</v>
      </c>
      <c r="Q16" s="20">
        <v>1.0</v>
      </c>
      <c r="R16" s="20">
        <v>1.0</v>
      </c>
      <c r="S16" s="20">
        <v>1.0</v>
      </c>
      <c r="T16" s="20">
        <v>1.0</v>
      </c>
      <c r="U16" s="20">
        <v>1.0</v>
      </c>
      <c r="V16" s="20">
        <v>1.0</v>
      </c>
      <c r="W16" s="20">
        <v>1.0</v>
      </c>
      <c r="X16" s="20">
        <v>0.5</v>
      </c>
      <c r="Y16" s="20">
        <v>0.0</v>
      </c>
      <c r="Z16" s="20">
        <v>0.0</v>
      </c>
      <c r="AA16" s="20">
        <v>0.0</v>
      </c>
      <c r="AB16" s="20">
        <v>0.0</v>
      </c>
      <c r="AC16" s="20">
        <v>1.0</v>
      </c>
      <c r="AD16" s="20">
        <v>1.0</v>
      </c>
      <c r="AE16" s="20">
        <v>0.0</v>
      </c>
      <c r="AF16" s="20">
        <v>1.0</v>
      </c>
      <c r="AG16" s="20">
        <v>0.5</v>
      </c>
      <c r="AH16" s="20">
        <v>0.0</v>
      </c>
      <c r="AI16" s="20">
        <v>0.0</v>
      </c>
      <c r="AJ16" s="20">
        <v>0.0</v>
      </c>
    </row>
    <row r="17">
      <c r="A17" s="12">
        <v>16.0</v>
      </c>
      <c r="B17" s="6" t="s">
        <v>138</v>
      </c>
      <c r="C17" s="12" t="s">
        <v>113</v>
      </c>
      <c r="D17" s="12" t="s">
        <v>139</v>
      </c>
      <c r="E17" s="3" t="s">
        <v>140</v>
      </c>
      <c r="F17" s="20">
        <v>0.0</v>
      </c>
      <c r="G17" s="20">
        <v>0.0</v>
      </c>
      <c r="H17" s="20">
        <v>0.0</v>
      </c>
      <c r="I17" s="20">
        <v>0.0</v>
      </c>
      <c r="J17" s="20">
        <v>1.0</v>
      </c>
      <c r="K17" s="20">
        <v>0.0</v>
      </c>
      <c r="L17" s="20">
        <v>0.0</v>
      </c>
      <c r="M17" s="20">
        <v>0.0</v>
      </c>
      <c r="N17" s="20">
        <v>1.0</v>
      </c>
      <c r="O17" s="20">
        <v>1.0</v>
      </c>
      <c r="P17" s="20">
        <v>1.0</v>
      </c>
      <c r="Q17" s="20">
        <v>0.0</v>
      </c>
      <c r="R17" s="20">
        <v>0.5</v>
      </c>
      <c r="S17" s="20">
        <v>0.5</v>
      </c>
      <c r="T17" s="20">
        <v>1.0</v>
      </c>
      <c r="U17" s="20">
        <v>0.5</v>
      </c>
      <c r="V17" s="20">
        <v>0.0</v>
      </c>
      <c r="W17" s="20">
        <v>1.0</v>
      </c>
      <c r="X17" s="20">
        <v>0.0</v>
      </c>
      <c r="Y17" s="20">
        <v>0.0</v>
      </c>
      <c r="Z17" s="20">
        <v>0.0</v>
      </c>
      <c r="AA17" s="20">
        <v>0.0</v>
      </c>
      <c r="AB17" s="20">
        <v>0.0</v>
      </c>
      <c r="AC17" s="20">
        <v>1.0</v>
      </c>
      <c r="AD17" s="20">
        <v>1.0</v>
      </c>
      <c r="AE17" s="20">
        <v>0.0</v>
      </c>
      <c r="AF17" s="20">
        <v>1.0</v>
      </c>
      <c r="AG17" s="20">
        <v>0.5</v>
      </c>
      <c r="AH17" s="20">
        <v>0.0</v>
      </c>
      <c r="AI17" s="20">
        <v>0.0</v>
      </c>
      <c r="AJ17" s="20">
        <v>0.0</v>
      </c>
    </row>
    <row r="18">
      <c r="A18" s="12">
        <v>17.0</v>
      </c>
      <c r="B18" s="6" t="s">
        <v>141</v>
      </c>
      <c r="C18" s="12" t="s">
        <v>119</v>
      </c>
      <c r="D18" s="12" t="s">
        <v>105</v>
      </c>
      <c r="E18" s="3" t="s">
        <v>142</v>
      </c>
      <c r="F18" s="20">
        <v>0.5</v>
      </c>
      <c r="G18" s="20">
        <v>0.0</v>
      </c>
      <c r="H18" s="20">
        <v>0.0</v>
      </c>
      <c r="I18" s="20">
        <v>1.0</v>
      </c>
      <c r="J18" s="20">
        <v>0.5</v>
      </c>
      <c r="K18" s="20">
        <v>0.0</v>
      </c>
      <c r="L18" s="20">
        <v>0.0</v>
      </c>
      <c r="M18" s="20">
        <v>0.5</v>
      </c>
      <c r="N18" s="20">
        <v>1.0</v>
      </c>
      <c r="O18" s="20">
        <v>1.0</v>
      </c>
      <c r="P18" s="20">
        <v>1.0</v>
      </c>
      <c r="Q18" s="20">
        <v>0.0</v>
      </c>
      <c r="R18" s="20">
        <v>1.0</v>
      </c>
      <c r="S18" s="20">
        <v>1.0</v>
      </c>
      <c r="T18" s="20">
        <v>1.0</v>
      </c>
      <c r="U18" s="20">
        <v>1.0</v>
      </c>
      <c r="V18" s="20">
        <v>1.0</v>
      </c>
      <c r="W18" s="20">
        <v>1.0</v>
      </c>
      <c r="X18" s="20">
        <v>1.0</v>
      </c>
      <c r="Y18" s="20">
        <v>1.0</v>
      </c>
      <c r="Z18" s="20">
        <v>1.0</v>
      </c>
      <c r="AA18" s="20">
        <v>1.0</v>
      </c>
      <c r="AB18" s="20">
        <v>1.0</v>
      </c>
      <c r="AC18" s="20">
        <v>1.0</v>
      </c>
      <c r="AD18" s="20">
        <v>1.0</v>
      </c>
      <c r="AE18" s="20">
        <v>0.5</v>
      </c>
      <c r="AF18" s="20">
        <v>1.0</v>
      </c>
      <c r="AG18" s="20">
        <v>0.5</v>
      </c>
      <c r="AH18" s="20">
        <v>1.0</v>
      </c>
      <c r="AI18" s="20">
        <v>0.5</v>
      </c>
      <c r="AJ18" s="20">
        <v>0.0</v>
      </c>
    </row>
    <row r="19">
      <c r="A19" s="12">
        <v>18.0</v>
      </c>
      <c r="B19" s="6" t="s">
        <v>143</v>
      </c>
      <c r="C19" s="12" t="s">
        <v>144</v>
      </c>
      <c r="D19" s="12" t="s">
        <v>145</v>
      </c>
      <c r="E19" s="3" t="s">
        <v>146</v>
      </c>
      <c r="F19" s="20">
        <v>0.0</v>
      </c>
      <c r="G19" s="20">
        <v>0.0</v>
      </c>
      <c r="H19" s="20">
        <v>0.0</v>
      </c>
      <c r="I19" s="20">
        <v>0.0</v>
      </c>
      <c r="J19" s="20">
        <v>1.0</v>
      </c>
      <c r="K19" s="20">
        <v>0.5</v>
      </c>
      <c r="L19" s="20">
        <v>0.0</v>
      </c>
      <c r="M19" s="20">
        <v>0.0</v>
      </c>
      <c r="N19" s="20">
        <v>1.0</v>
      </c>
      <c r="O19" s="20">
        <v>1.0</v>
      </c>
      <c r="P19" s="20">
        <v>1.0</v>
      </c>
      <c r="Q19" s="20">
        <v>0.0</v>
      </c>
      <c r="R19" s="20">
        <v>0.5</v>
      </c>
      <c r="S19" s="20">
        <v>1.0</v>
      </c>
      <c r="T19" s="20">
        <v>0.5</v>
      </c>
      <c r="U19" s="20">
        <v>0.5</v>
      </c>
      <c r="V19" s="20">
        <v>1.0</v>
      </c>
      <c r="W19" s="20">
        <v>0.0</v>
      </c>
      <c r="X19" s="20">
        <v>0.0</v>
      </c>
      <c r="Y19" s="20">
        <v>0.0</v>
      </c>
      <c r="Z19" s="20">
        <v>0.0</v>
      </c>
      <c r="AA19" s="20">
        <v>0.0</v>
      </c>
      <c r="AB19" s="20">
        <v>0.0</v>
      </c>
      <c r="AC19" s="20">
        <v>1.0</v>
      </c>
      <c r="AD19" s="20">
        <v>1.0</v>
      </c>
      <c r="AE19" s="20">
        <v>0.0</v>
      </c>
      <c r="AF19" s="20">
        <v>0.0</v>
      </c>
      <c r="AG19" s="20">
        <v>0.5</v>
      </c>
      <c r="AH19" s="20">
        <v>0.0</v>
      </c>
      <c r="AI19" s="20">
        <v>0.0</v>
      </c>
      <c r="AJ19" s="20">
        <v>0.0</v>
      </c>
    </row>
    <row r="20">
      <c r="A20" s="12">
        <v>19.0</v>
      </c>
      <c r="B20" s="6" t="s">
        <v>147</v>
      </c>
      <c r="C20" s="12" t="s">
        <v>148</v>
      </c>
      <c r="D20" s="12" t="s">
        <v>120</v>
      </c>
      <c r="E20" s="3" t="s">
        <v>149</v>
      </c>
      <c r="F20" s="20">
        <v>0.0</v>
      </c>
      <c r="G20" s="20">
        <v>0.0</v>
      </c>
      <c r="H20" s="20">
        <v>0.0</v>
      </c>
      <c r="I20" s="20">
        <v>0.5</v>
      </c>
      <c r="J20" s="20">
        <v>0.0</v>
      </c>
      <c r="K20" s="20">
        <v>0.0</v>
      </c>
      <c r="L20" s="20">
        <v>0.0</v>
      </c>
      <c r="M20" s="20">
        <v>0.0</v>
      </c>
      <c r="N20" s="20">
        <v>1.0</v>
      </c>
      <c r="O20" s="20">
        <v>1.0</v>
      </c>
      <c r="P20" s="20">
        <v>1.0</v>
      </c>
      <c r="Q20" s="20">
        <v>1.0</v>
      </c>
      <c r="R20" s="20">
        <v>0.5</v>
      </c>
      <c r="S20" s="20">
        <v>0.5</v>
      </c>
      <c r="T20" s="20">
        <v>1.0</v>
      </c>
      <c r="U20" s="20">
        <v>1.0</v>
      </c>
      <c r="V20" s="20">
        <v>0.5</v>
      </c>
      <c r="W20" s="20">
        <v>1.0</v>
      </c>
      <c r="X20" s="20">
        <v>1.0</v>
      </c>
      <c r="Y20" s="20">
        <v>0.5</v>
      </c>
      <c r="Z20" s="20">
        <v>1.0</v>
      </c>
      <c r="AA20" s="20">
        <v>1.0</v>
      </c>
      <c r="AB20" s="20">
        <v>0.0</v>
      </c>
      <c r="AC20" s="20">
        <v>1.0</v>
      </c>
      <c r="AD20" s="20">
        <v>1.0</v>
      </c>
      <c r="AE20" s="20">
        <v>1.0</v>
      </c>
      <c r="AF20" s="20">
        <v>1.0</v>
      </c>
      <c r="AG20" s="20">
        <v>0.5</v>
      </c>
      <c r="AH20" s="20">
        <v>1.0</v>
      </c>
      <c r="AI20" s="20">
        <v>0.0</v>
      </c>
      <c r="AJ20" s="20">
        <v>0.0</v>
      </c>
    </row>
    <row r="21" ht="15.75" customHeight="1">
      <c r="A21" s="12">
        <v>20.0</v>
      </c>
      <c r="B21" s="6" t="s">
        <v>150</v>
      </c>
      <c r="C21" s="12" t="s">
        <v>119</v>
      </c>
      <c r="D21" s="12" t="s">
        <v>151</v>
      </c>
      <c r="E21" s="3" t="s">
        <v>152</v>
      </c>
      <c r="F21" s="20">
        <v>0.5</v>
      </c>
      <c r="G21" s="20">
        <v>0.0</v>
      </c>
      <c r="H21" s="20">
        <v>0.0</v>
      </c>
      <c r="I21" s="20">
        <v>1.0</v>
      </c>
      <c r="J21" s="20">
        <v>1.0</v>
      </c>
      <c r="K21" s="20">
        <v>0.0</v>
      </c>
      <c r="L21" s="20">
        <v>0.0</v>
      </c>
      <c r="M21" s="20">
        <v>0.0</v>
      </c>
      <c r="N21" s="20">
        <v>1.0</v>
      </c>
      <c r="O21" s="20">
        <v>1.0</v>
      </c>
      <c r="P21" s="20">
        <v>1.0</v>
      </c>
      <c r="Q21" s="20">
        <v>1.0</v>
      </c>
      <c r="R21" s="20">
        <v>1.0</v>
      </c>
      <c r="S21" s="20">
        <v>1.0</v>
      </c>
      <c r="T21" s="20">
        <v>1.0</v>
      </c>
      <c r="U21" s="20">
        <v>1.0</v>
      </c>
      <c r="V21" s="20">
        <v>1.0</v>
      </c>
      <c r="W21" s="20">
        <v>1.0</v>
      </c>
      <c r="X21" s="20">
        <v>1.0</v>
      </c>
      <c r="Y21" s="20">
        <v>1.0</v>
      </c>
      <c r="Z21" s="20">
        <v>1.0</v>
      </c>
      <c r="AA21" s="20">
        <v>1.0</v>
      </c>
      <c r="AB21" s="20">
        <v>1.0</v>
      </c>
      <c r="AC21" s="20">
        <v>1.0</v>
      </c>
      <c r="AD21" s="20">
        <v>1.0</v>
      </c>
      <c r="AE21" s="20">
        <v>1.0</v>
      </c>
      <c r="AF21" s="20">
        <v>1.0</v>
      </c>
      <c r="AG21" s="20">
        <v>1.0</v>
      </c>
      <c r="AH21" s="20">
        <v>0.5</v>
      </c>
      <c r="AI21" s="20">
        <v>1.0</v>
      </c>
      <c r="AJ21" s="20">
        <v>0.5</v>
      </c>
    </row>
    <row r="22" ht="15.75" customHeight="1">
      <c r="A22" s="12">
        <v>21.0</v>
      </c>
      <c r="B22" s="6" t="s">
        <v>153</v>
      </c>
      <c r="C22" s="12" t="s">
        <v>154</v>
      </c>
      <c r="D22" s="12" t="s">
        <v>155</v>
      </c>
      <c r="E22" s="3" t="s">
        <v>156</v>
      </c>
      <c r="F22" s="20">
        <v>1.0</v>
      </c>
      <c r="G22" s="20">
        <v>1.0</v>
      </c>
      <c r="H22" s="20">
        <v>0.5</v>
      </c>
      <c r="I22" s="20">
        <v>1.0</v>
      </c>
      <c r="J22" s="20">
        <v>0.0</v>
      </c>
      <c r="K22" s="20">
        <v>1.0</v>
      </c>
      <c r="L22" s="20">
        <v>0.5</v>
      </c>
      <c r="M22" s="20">
        <v>1.0</v>
      </c>
      <c r="N22" s="20">
        <v>1.0</v>
      </c>
      <c r="O22" s="20">
        <v>1.0</v>
      </c>
      <c r="P22" s="20">
        <v>1.0</v>
      </c>
      <c r="Q22" s="20">
        <v>1.0</v>
      </c>
      <c r="R22" s="20">
        <v>1.0</v>
      </c>
      <c r="S22" s="20">
        <v>1.0</v>
      </c>
      <c r="T22" s="20">
        <v>1.0</v>
      </c>
      <c r="U22" s="20">
        <v>1.0</v>
      </c>
      <c r="V22" s="20">
        <v>1.0</v>
      </c>
      <c r="W22" s="20">
        <v>1.0</v>
      </c>
      <c r="X22" s="20">
        <v>1.0</v>
      </c>
      <c r="Y22" s="20">
        <v>1.0</v>
      </c>
      <c r="Z22" s="20">
        <v>1.0</v>
      </c>
      <c r="AA22" s="20">
        <v>1.0</v>
      </c>
      <c r="AB22" s="20">
        <v>1.0</v>
      </c>
      <c r="AC22" s="20">
        <v>1.0</v>
      </c>
      <c r="AD22" s="20">
        <v>1.0</v>
      </c>
      <c r="AE22" s="20">
        <v>1.0</v>
      </c>
      <c r="AF22" s="20">
        <v>0.0</v>
      </c>
      <c r="AG22" s="20">
        <v>1.0</v>
      </c>
      <c r="AH22" s="20">
        <v>1.0</v>
      </c>
      <c r="AI22" s="20">
        <v>1.0</v>
      </c>
      <c r="AJ22" s="20">
        <v>1.0</v>
      </c>
    </row>
    <row r="23" ht="15.75" customHeight="1">
      <c r="A23" s="12">
        <v>22.0</v>
      </c>
      <c r="B23" s="6" t="s">
        <v>157</v>
      </c>
      <c r="C23" s="12" t="s">
        <v>154</v>
      </c>
      <c r="D23" s="12" t="s">
        <v>158</v>
      </c>
      <c r="E23" s="3" t="s">
        <v>159</v>
      </c>
      <c r="F23" s="20">
        <v>1.0</v>
      </c>
      <c r="G23" s="20">
        <v>1.0</v>
      </c>
      <c r="H23" s="20">
        <v>0.0</v>
      </c>
      <c r="I23" s="20">
        <v>1.0</v>
      </c>
      <c r="J23" s="20">
        <v>1.0</v>
      </c>
      <c r="K23" s="20">
        <v>1.0</v>
      </c>
      <c r="L23" s="20">
        <v>1.0</v>
      </c>
      <c r="M23" s="20">
        <v>0.5</v>
      </c>
      <c r="N23" s="20">
        <v>1.0</v>
      </c>
      <c r="O23" s="20">
        <v>1.0</v>
      </c>
      <c r="P23" s="20">
        <v>1.0</v>
      </c>
      <c r="Q23" s="20">
        <v>1.0</v>
      </c>
      <c r="R23" s="20">
        <v>1.0</v>
      </c>
      <c r="S23" s="20">
        <v>1.0</v>
      </c>
      <c r="T23" s="20">
        <v>1.0</v>
      </c>
      <c r="U23" s="20">
        <v>1.0</v>
      </c>
      <c r="V23" s="20">
        <v>1.0</v>
      </c>
      <c r="W23" s="20">
        <v>0.5</v>
      </c>
      <c r="X23" s="20">
        <v>1.0</v>
      </c>
      <c r="Y23" s="20">
        <v>1.0</v>
      </c>
      <c r="Z23" s="20">
        <v>1.0</v>
      </c>
      <c r="AA23" s="20">
        <v>1.0</v>
      </c>
      <c r="AB23" s="20">
        <v>1.0</v>
      </c>
      <c r="AC23" s="20">
        <v>1.0</v>
      </c>
      <c r="AD23" s="20">
        <v>1.0</v>
      </c>
      <c r="AE23" s="20">
        <v>1.0</v>
      </c>
      <c r="AF23" s="20">
        <v>1.0</v>
      </c>
      <c r="AG23" s="20">
        <v>1.0</v>
      </c>
      <c r="AH23" s="20">
        <v>1.0</v>
      </c>
      <c r="AI23" s="20">
        <v>1.0</v>
      </c>
      <c r="AJ23" s="20">
        <v>0.5</v>
      </c>
    </row>
    <row r="24" ht="15.75" customHeight="1">
      <c r="A24" s="12">
        <v>23.0</v>
      </c>
      <c r="B24" s="6" t="s">
        <v>160</v>
      </c>
      <c r="C24" s="12" t="s">
        <v>154</v>
      </c>
      <c r="D24" s="12" t="s">
        <v>161</v>
      </c>
      <c r="E24" s="3" t="s">
        <v>162</v>
      </c>
      <c r="F24" s="20">
        <v>1.0</v>
      </c>
      <c r="G24" s="20">
        <v>1.0</v>
      </c>
      <c r="H24" s="20">
        <v>1.0</v>
      </c>
      <c r="I24" s="20">
        <v>1.0</v>
      </c>
      <c r="J24" s="20">
        <v>1.0</v>
      </c>
      <c r="K24" s="20">
        <v>1.0</v>
      </c>
      <c r="L24" s="20">
        <v>1.0</v>
      </c>
      <c r="M24" s="20">
        <v>1.0</v>
      </c>
      <c r="N24" s="20">
        <v>1.0</v>
      </c>
      <c r="O24" s="20">
        <v>1.0</v>
      </c>
      <c r="P24" s="20">
        <v>1.0</v>
      </c>
      <c r="Q24" s="20">
        <v>0.0</v>
      </c>
      <c r="R24" s="20">
        <v>1.0</v>
      </c>
      <c r="S24" s="20">
        <v>1.0</v>
      </c>
      <c r="T24" s="20">
        <v>1.0</v>
      </c>
      <c r="U24" s="20">
        <v>1.0</v>
      </c>
      <c r="V24" s="20">
        <v>1.0</v>
      </c>
      <c r="W24" s="20">
        <v>0.5</v>
      </c>
      <c r="X24" s="20">
        <v>1.0</v>
      </c>
      <c r="Y24" s="20">
        <v>1.0</v>
      </c>
      <c r="Z24" s="20">
        <v>1.0</v>
      </c>
      <c r="AA24" s="20">
        <v>1.0</v>
      </c>
      <c r="AB24" s="20">
        <v>1.0</v>
      </c>
      <c r="AC24" s="20">
        <v>1.0</v>
      </c>
      <c r="AD24" s="20">
        <v>1.0</v>
      </c>
      <c r="AE24" s="20">
        <v>1.0</v>
      </c>
      <c r="AF24" s="20">
        <v>1.0</v>
      </c>
      <c r="AG24" s="20">
        <v>1.0</v>
      </c>
      <c r="AH24" s="20">
        <v>1.0</v>
      </c>
      <c r="AI24" s="20">
        <v>1.0</v>
      </c>
      <c r="AJ24" s="20">
        <v>0.5</v>
      </c>
    </row>
    <row r="25" ht="15.75" customHeight="1">
      <c r="A25" s="12">
        <v>24.0</v>
      </c>
      <c r="B25" s="6" t="s">
        <v>163</v>
      </c>
      <c r="C25" s="12" t="s">
        <v>154</v>
      </c>
      <c r="D25" s="12" t="s">
        <v>164</v>
      </c>
      <c r="E25" s="3" t="s">
        <v>165</v>
      </c>
      <c r="F25" s="20">
        <v>1.0</v>
      </c>
      <c r="G25" s="20">
        <v>1.0</v>
      </c>
      <c r="H25" s="20">
        <v>1.0</v>
      </c>
      <c r="I25" s="20">
        <v>1.0</v>
      </c>
      <c r="J25" s="20">
        <v>1.0</v>
      </c>
      <c r="K25" s="20">
        <v>1.0</v>
      </c>
      <c r="L25" s="20">
        <v>0.0</v>
      </c>
      <c r="M25" s="20">
        <v>1.0</v>
      </c>
      <c r="N25" s="20">
        <v>1.0</v>
      </c>
      <c r="O25" s="20">
        <v>1.0</v>
      </c>
      <c r="P25" s="20">
        <v>1.0</v>
      </c>
      <c r="Q25" s="20">
        <v>1.0</v>
      </c>
      <c r="R25" s="20">
        <v>0.0</v>
      </c>
      <c r="S25" s="20">
        <v>1.0</v>
      </c>
      <c r="T25" s="20">
        <v>1.0</v>
      </c>
      <c r="U25" s="20">
        <v>0.0</v>
      </c>
      <c r="V25" s="20">
        <v>0.0</v>
      </c>
      <c r="W25" s="20">
        <v>0.0</v>
      </c>
      <c r="X25" s="20">
        <v>1.0</v>
      </c>
      <c r="Y25" s="20">
        <v>1.0</v>
      </c>
      <c r="Z25" s="20">
        <v>0.0</v>
      </c>
      <c r="AA25" s="20">
        <v>0.0</v>
      </c>
      <c r="AB25" s="20">
        <v>0.0</v>
      </c>
      <c r="AC25" s="20">
        <v>1.0</v>
      </c>
      <c r="AD25" s="20">
        <v>1.0</v>
      </c>
      <c r="AE25" s="20">
        <v>1.0</v>
      </c>
      <c r="AF25" s="20">
        <v>0.0</v>
      </c>
      <c r="AG25" s="20">
        <v>1.0</v>
      </c>
      <c r="AH25" s="20">
        <v>1.0</v>
      </c>
      <c r="AI25" s="20">
        <v>1.0</v>
      </c>
      <c r="AJ25" s="20">
        <v>1.0</v>
      </c>
    </row>
    <row r="26" ht="15.75" customHeight="1">
      <c r="A26" s="12">
        <v>25.0</v>
      </c>
      <c r="B26" s="6" t="s">
        <v>166</v>
      </c>
      <c r="C26" s="12" t="s">
        <v>154</v>
      </c>
      <c r="D26" s="12" t="s">
        <v>167</v>
      </c>
      <c r="E26" s="3" t="s">
        <v>168</v>
      </c>
      <c r="F26" s="20">
        <v>0.5</v>
      </c>
      <c r="G26" s="20">
        <v>1.0</v>
      </c>
      <c r="H26" s="20">
        <v>1.0</v>
      </c>
      <c r="I26" s="20">
        <v>1.0</v>
      </c>
      <c r="J26" s="20">
        <v>1.0</v>
      </c>
      <c r="K26" s="20">
        <v>0.5</v>
      </c>
      <c r="L26" s="20">
        <v>1.0</v>
      </c>
      <c r="M26" s="20">
        <v>0.5</v>
      </c>
      <c r="N26" s="20">
        <v>1.0</v>
      </c>
      <c r="O26" s="20">
        <v>1.0</v>
      </c>
      <c r="P26" s="20">
        <v>1.0</v>
      </c>
      <c r="Q26" s="20">
        <v>1.0</v>
      </c>
      <c r="R26" s="20">
        <v>1.0</v>
      </c>
      <c r="S26" s="20">
        <v>1.0</v>
      </c>
      <c r="T26" s="20">
        <v>1.0</v>
      </c>
      <c r="U26" s="20">
        <v>1.0</v>
      </c>
      <c r="V26" s="20">
        <v>1.0</v>
      </c>
      <c r="W26" s="20">
        <v>1.0</v>
      </c>
      <c r="X26" s="20">
        <v>1.0</v>
      </c>
      <c r="Y26" s="20">
        <v>1.0</v>
      </c>
      <c r="Z26" s="20">
        <v>1.0</v>
      </c>
      <c r="AA26" s="20">
        <v>1.0</v>
      </c>
      <c r="AB26" s="20">
        <v>1.0</v>
      </c>
      <c r="AC26" s="20">
        <v>1.0</v>
      </c>
      <c r="AD26" s="20">
        <v>1.0</v>
      </c>
      <c r="AE26" s="20">
        <v>1.0</v>
      </c>
      <c r="AF26" s="20">
        <v>1.0</v>
      </c>
      <c r="AG26" s="20">
        <v>1.0</v>
      </c>
      <c r="AH26" s="20">
        <v>1.0</v>
      </c>
      <c r="AI26" s="20">
        <v>1.0</v>
      </c>
      <c r="AJ26" s="20">
        <v>1.0</v>
      </c>
    </row>
    <row r="27" ht="15.75" customHeight="1">
      <c r="A27" s="12">
        <v>26.0</v>
      </c>
      <c r="B27" s="6" t="s">
        <v>169</v>
      </c>
      <c r="C27" s="12" t="s">
        <v>170</v>
      </c>
      <c r="D27" s="12" t="s">
        <v>171</v>
      </c>
      <c r="E27" s="3" t="s">
        <v>172</v>
      </c>
      <c r="F27" s="20">
        <v>0.0</v>
      </c>
      <c r="G27" s="20">
        <v>0.0</v>
      </c>
      <c r="H27" s="20">
        <v>0.0</v>
      </c>
      <c r="I27" s="20">
        <v>0.0</v>
      </c>
      <c r="J27" s="20">
        <v>0.0</v>
      </c>
      <c r="K27" s="20">
        <v>0.0</v>
      </c>
      <c r="L27" s="20">
        <v>0.0</v>
      </c>
      <c r="M27" s="20">
        <v>0.0</v>
      </c>
      <c r="N27" s="20">
        <v>1.0</v>
      </c>
      <c r="O27" s="20">
        <v>1.0</v>
      </c>
      <c r="P27" s="20">
        <v>1.0</v>
      </c>
      <c r="Q27" s="20">
        <v>1.0</v>
      </c>
      <c r="R27" s="20">
        <v>1.0</v>
      </c>
      <c r="S27" s="20">
        <v>0.5</v>
      </c>
      <c r="T27" s="20">
        <v>0.5</v>
      </c>
      <c r="U27" s="20">
        <v>1.0</v>
      </c>
      <c r="V27" s="20">
        <v>1.0</v>
      </c>
      <c r="W27" s="20">
        <v>0.5</v>
      </c>
      <c r="X27" s="20">
        <v>1.0</v>
      </c>
      <c r="Y27" s="20">
        <v>1.0</v>
      </c>
      <c r="Z27" s="20">
        <v>1.0</v>
      </c>
      <c r="AA27" s="20">
        <v>1.0</v>
      </c>
      <c r="AB27" s="20">
        <v>0.0</v>
      </c>
      <c r="AC27" s="20">
        <v>1.0</v>
      </c>
      <c r="AD27" s="20">
        <v>1.0</v>
      </c>
      <c r="AE27" s="20">
        <v>1.0</v>
      </c>
      <c r="AF27" s="20">
        <v>1.0</v>
      </c>
      <c r="AG27" s="20">
        <v>0.0</v>
      </c>
      <c r="AH27" s="20">
        <v>0.0</v>
      </c>
      <c r="AI27" s="20">
        <v>0.5</v>
      </c>
      <c r="AJ27" s="20">
        <v>0.0</v>
      </c>
    </row>
    <row r="28" ht="15.75" customHeight="1">
      <c r="A28" s="12">
        <v>27.0</v>
      </c>
      <c r="B28" s="6" t="s">
        <v>173</v>
      </c>
      <c r="C28" s="12" t="s">
        <v>170</v>
      </c>
      <c r="D28" s="12" t="s">
        <v>174</v>
      </c>
      <c r="E28" s="3" t="s">
        <v>175</v>
      </c>
      <c r="F28" s="20">
        <v>0.5</v>
      </c>
      <c r="G28" s="20">
        <v>0.0</v>
      </c>
      <c r="H28" s="20">
        <v>0.0</v>
      </c>
      <c r="I28" s="20">
        <v>0.5</v>
      </c>
      <c r="J28" s="20">
        <v>0.5</v>
      </c>
      <c r="K28" s="20">
        <v>0.0</v>
      </c>
      <c r="L28" s="20">
        <v>0.0</v>
      </c>
      <c r="M28" s="20">
        <v>0.5</v>
      </c>
      <c r="N28" s="20">
        <v>1.0</v>
      </c>
      <c r="O28" s="20">
        <v>1.0</v>
      </c>
      <c r="P28" s="20">
        <v>1.0</v>
      </c>
      <c r="Q28" s="20">
        <v>1.0</v>
      </c>
      <c r="R28" s="20">
        <v>1.0</v>
      </c>
      <c r="S28" s="20">
        <v>1.0</v>
      </c>
      <c r="T28" s="20">
        <v>1.0</v>
      </c>
      <c r="U28" s="20">
        <v>1.0</v>
      </c>
      <c r="V28" s="20">
        <v>1.0</v>
      </c>
      <c r="W28" s="20">
        <v>1.0</v>
      </c>
      <c r="X28" s="20">
        <v>1.0</v>
      </c>
      <c r="Y28" s="20">
        <v>1.0</v>
      </c>
      <c r="Z28" s="20">
        <v>1.0</v>
      </c>
      <c r="AA28" s="20">
        <v>1.0</v>
      </c>
      <c r="AB28" s="20">
        <v>1.0</v>
      </c>
      <c r="AC28" s="20">
        <v>1.0</v>
      </c>
      <c r="AD28" s="20">
        <v>1.0</v>
      </c>
      <c r="AE28" s="20">
        <v>1.0</v>
      </c>
      <c r="AF28" s="20">
        <v>0.0</v>
      </c>
      <c r="AG28" s="20">
        <v>0.5</v>
      </c>
      <c r="AH28" s="20">
        <v>0.0</v>
      </c>
      <c r="AI28" s="20">
        <v>0.5</v>
      </c>
      <c r="AJ28" s="20">
        <v>0.0</v>
      </c>
    </row>
    <row r="29" ht="15.75" customHeight="1">
      <c r="A29" s="12">
        <v>28.0</v>
      </c>
      <c r="B29" s="6" t="s">
        <v>176</v>
      </c>
      <c r="C29" s="12" t="s">
        <v>170</v>
      </c>
      <c r="D29" s="12" t="s">
        <v>177</v>
      </c>
      <c r="E29" s="3" t="s">
        <v>178</v>
      </c>
      <c r="F29" s="20">
        <v>0.5</v>
      </c>
      <c r="G29" s="20">
        <v>0.0</v>
      </c>
      <c r="H29" s="20">
        <v>0.0</v>
      </c>
      <c r="I29" s="20">
        <v>0.0</v>
      </c>
      <c r="J29" s="20">
        <v>0.0</v>
      </c>
      <c r="K29" s="20">
        <v>0.0</v>
      </c>
      <c r="L29" s="20">
        <v>0.0</v>
      </c>
      <c r="M29" s="20">
        <v>1.0</v>
      </c>
      <c r="N29" s="20">
        <v>1.0</v>
      </c>
      <c r="O29" s="20">
        <v>1.0</v>
      </c>
      <c r="P29" s="20">
        <v>1.0</v>
      </c>
      <c r="Q29" s="20">
        <v>1.0</v>
      </c>
      <c r="R29" s="20">
        <v>1.0</v>
      </c>
      <c r="S29" s="20">
        <v>1.0</v>
      </c>
      <c r="T29" s="20">
        <v>1.0</v>
      </c>
      <c r="U29" s="20">
        <v>1.0</v>
      </c>
      <c r="V29" s="20">
        <v>1.0</v>
      </c>
      <c r="W29" s="20">
        <v>1.0</v>
      </c>
      <c r="X29" s="20">
        <v>1.0</v>
      </c>
      <c r="Y29" s="20">
        <v>1.0</v>
      </c>
      <c r="Z29" s="20">
        <v>1.0</v>
      </c>
      <c r="AA29" s="20">
        <v>1.0</v>
      </c>
      <c r="AB29" s="20">
        <v>1.0</v>
      </c>
      <c r="AC29" s="20">
        <v>1.0</v>
      </c>
      <c r="AD29" s="20">
        <v>1.0</v>
      </c>
      <c r="AE29" s="20">
        <v>1.0</v>
      </c>
      <c r="AF29" s="20">
        <v>0.5</v>
      </c>
      <c r="AG29" s="20">
        <v>0.5</v>
      </c>
      <c r="AH29" s="20">
        <v>0.0</v>
      </c>
      <c r="AI29" s="20">
        <v>0.5</v>
      </c>
      <c r="AJ29" s="20">
        <v>0.0</v>
      </c>
    </row>
    <row r="30" ht="15.75" customHeight="1">
      <c r="A30" s="12">
        <v>29.0</v>
      </c>
      <c r="B30" s="6" t="s">
        <v>179</v>
      </c>
      <c r="C30" s="12" t="s">
        <v>170</v>
      </c>
      <c r="D30" s="12" t="s">
        <v>180</v>
      </c>
      <c r="E30" s="3" t="s">
        <v>181</v>
      </c>
      <c r="F30" s="20">
        <v>0.5</v>
      </c>
      <c r="G30" s="20">
        <v>0.0</v>
      </c>
      <c r="H30" s="20">
        <v>0.0</v>
      </c>
      <c r="I30" s="20">
        <v>0.0</v>
      </c>
      <c r="J30" s="20">
        <v>0.0</v>
      </c>
      <c r="K30" s="20">
        <v>0.0</v>
      </c>
      <c r="L30" s="20">
        <v>0.0</v>
      </c>
      <c r="M30" s="20">
        <v>1.0</v>
      </c>
      <c r="N30" s="20">
        <v>1.0</v>
      </c>
      <c r="O30" s="20">
        <v>1.0</v>
      </c>
      <c r="P30" s="20">
        <v>1.0</v>
      </c>
      <c r="Q30" s="20">
        <v>1.0</v>
      </c>
      <c r="R30" s="20">
        <v>1.0</v>
      </c>
      <c r="S30" s="20">
        <v>1.0</v>
      </c>
      <c r="T30" s="20">
        <v>1.0</v>
      </c>
      <c r="U30" s="20">
        <v>1.0</v>
      </c>
      <c r="V30" s="20">
        <v>1.0</v>
      </c>
      <c r="W30" s="20">
        <v>1.0</v>
      </c>
      <c r="X30" s="20">
        <v>1.0</v>
      </c>
      <c r="Y30" s="20">
        <v>1.0</v>
      </c>
      <c r="Z30" s="20">
        <v>1.0</v>
      </c>
      <c r="AA30" s="20">
        <v>1.0</v>
      </c>
      <c r="AB30" s="20">
        <v>0.0</v>
      </c>
      <c r="AC30" s="20">
        <v>1.0</v>
      </c>
      <c r="AD30" s="20">
        <v>1.0</v>
      </c>
      <c r="AE30" s="20">
        <v>1.0</v>
      </c>
      <c r="AF30" s="20">
        <v>1.0</v>
      </c>
      <c r="AG30" s="20">
        <v>0.0</v>
      </c>
      <c r="AH30" s="20">
        <v>0.0</v>
      </c>
      <c r="AI30" s="20">
        <v>0.0</v>
      </c>
      <c r="AJ30" s="20">
        <v>0.0</v>
      </c>
    </row>
    <row r="31" ht="15.75" customHeight="1">
      <c r="A31" s="12">
        <v>30.0</v>
      </c>
      <c r="B31" s="6" t="s">
        <v>182</v>
      </c>
      <c r="C31" s="12" t="s">
        <v>170</v>
      </c>
      <c r="D31" s="12" t="s">
        <v>183</v>
      </c>
      <c r="E31" s="3" t="s">
        <v>184</v>
      </c>
      <c r="F31" s="20">
        <v>0.5</v>
      </c>
      <c r="G31" s="20">
        <v>0.0</v>
      </c>
      <c r="H31" s="20">
        <v>0.0</v>
      </c>
      <c r="I31" s="20">
        <v>0.0</v>
      </c>
      <c r="J31" s="20">
        <v>0.0</v>
      </c>
      <c r="K31" s="20">
        <v>0.5</v>
      </c>
      <c r="L31" s="20">
        <v>0.0</v>
      </c>
      <c r="M31" s="20">
        <v>1.0</v>
      </c>
      <c r="N31" s="20">
        <v>1.0</v>
      </c>
      <c r="O31" s="20">
        <v>1.0</v>
      </c>
      <c r="P31" s="20">
        <v>1.0</v>
      </c>
      <c r="Q31" s="20">
        <v>1.0</v>
      </c>
      <c r="R31" s="20">
        <v>1.0</v>
      </c>
      <c r="S31" s="20">
        <v>0.5</v>
      </c>
      <c r="T31" s="20">
        <v>1.0</v>
      </c>
      <c r="U31" s="20">
        <v>1.0</v>
      </c>
      <c r="V31" s="20">
        <v>1.0</v>
      </c>
      <c r="W31" s="20">
        <v>0.5</v>
      </c>
      <c r="X31" s="20">
        <v>1.0</v>
      </c>
      <c r="Y31" s="20">
        <v>1.0</v>
      </c>
      <c r="Z31" s="20">
        <v>1.0</v>
      </c>
      <c r="AA31" s="20">
        <v>1.0</v>
      </c>
      <c r="AB31" s="20">
        <v>0.0</v>
      </c>
      <c r="AC31" s="20">
        <v>1.0</v>
      </c>
      <c r="AD31" s="20">
        <v>1.0</v>
      </c>
      <c r="AE31" s="20">
        <v>0.0</v>
      </c>
      <c r="AF31" s="20">
        <v>0.0</v>
      </c>
      <c r="AG31" s="20">
        <v>0.5</v>
      </c>
      <c r="AH31" s="20">
        <v>0.0</v>
      </c>
      <c r="AI31" s="20">
        <v>0.5</v>
      </c>
      <c r="AJ31" s="20">
        <v>0.0</v>
      </c>
    </row>
    <row r="32" ht="15.75" customHeight="1">
      <c r="A32" s="12">
        <v>31.0</v>
      </c>
      <c r="B32" s="6" t="s">
        <v>185</v>
      </c>
      <c r="C32" s="12" t="s">
        <v>186</v>
      </c>
      <c r="D32" s="12" t="s">
        <v>187</v>
      </c>
      <c r="E32" s="3" t="s">
        <v>188</v>
      </c>
      <c r="F32" s="20">
        <v>0.5</v>
      </c>
      <c r="G32" s="20">
        <v>1.0</v>
      </c>
      <c r="H32" s="20">
        <v>1.0</v>
      </c>
      <c r="I32" s="20">
        <v>1.0</v>
      </c>
      <c r="J32" s="20">
        <v>1.0</v>
      </c>
      <c r="K32" s="20">
        <v>0.5</v>
      </c>
      <c r="L32" s="20">
        <v>1.0</v>
      </c>
      <c r="M32" s="20">
        <v>0.0</v>
      </c>
      <c r="N32" s="20">
        <v>1.0</v>
      </c>
      <c r="O32" s="20">
        <v>1.0</v>
      </c>
      <c r="P32" s="20">
        <v>1.0</v>
      </c>
      <c r="Q32" s="20">
        <v>1.0</v>
      </c>
      <c r="R32" s="20">
        <v>1.0</v>
      </c>
      <c r="S32" s="20">
        <v>1.0</v>
      </c>
      <c r="T32" s="20">
        <v>1.0</v>
      </c>
      <c r="U32" s="20">
        <v>1.0</v>
      </c>
      <c r="V32" s="20">
        <v>1.0</v>
      </c>
      <c r="W32" s="20">
        <v>1.0</v>
      </c>
      <c r="X32" s="20">
        <v>1.0</v>
      </c>
      <c r="Y32" s="20">
        <v>1.0</v>
      </c>
      <c r="Z32" s="20">
        <v>1.0</v>
      </c>
      <c r="AA32" s="20">
        <v>1.0</v>
      </c>
      <c r="AB32" s="20">
        <v>1.0</v>
      </c>
      <c r="AC32" s="20">
        <v>1.0</v>
      </c>
      <c r="AD32" s="20">
        <v>1.0</v>
      </c>
      <c r="AE32" s="20">
        <v>1.0</v>
      </c>
      <c r="AF32" s="20">
        <v>1.0</v>
      </c>
      <c r="AG32" s="20">
        <v>1.0</v>
      </c>
      <c r="AH32" s="20">
        <v>1.0</v>
      </c>
      <c r="AI32" s="20">
        <v>1.0</v>
      </c>
      <c r="AJ32" s="20">
        <v>0.5</v>
      </c>
    </row>
    <row r="33" ht="15.75" customHeight="1">
      <c r="A33" s="12">
        <v>32.0</v>
      </c>
      <c r="B33" s="6" t="s">
        <v>189</v>
      </c>
      <c r="C33" s="12" t="s">
        <v>186</v>
      </c>
      <c r="D33" s="12" t="s">
        <v>190</v>
      </c>
      <c r="E33" s="3" t="s">
        <v>191</v>
      </c>
      <c r="F33" s="20">
        <v>0.5</v>
      </c>
      <c r="G33" s="20">
        <v>1.0</v>
      </c>
      <c r="H33" s="20">
        <v>0.5</v>
      </c>
      <c r="I33" s="20">
        <v>0.0</v>
      </c>
      <c r="J33" s="20">
        <v>1.0</v>
      </c>
      <c r="K33" s="20">
        <v>0.5</v>
      </c>
      <c r="L33" s="20">
        <v>1.0</v>
      </c>
      <c r="M33" s="20">
        <v>0.5</v>
      </c>
      <c r="N33" s="20">
        <v>1.0</v>
      </c>
      <c r="O33" s="20">
        <v>1.0</v>
      </c>
      <c r="P33" s="20">
        <v>1.0</v>
      </c>
      <c r="Q33" s="20">
        <v>0.5</v>
      </c>
      <c r="R33" s="20">
        <v>1.0</v>
      </c>
      <c r="S33" s="20">
        <v>0.5</v>
      </c>
      <c r="T33" s="20">
        <v>1.0</v>
      </c>
      <c r="U33" s="20">
        <v>1.0</v>
      </c>
      <c r="V33" s="20">
        <v>0.5</v>
      </c>
      <c r="W33" s="20">
        <v>1.0</v>
      </c>
      <c r="X33" s="20">
        <v>1.0</v>
      </c>
      <c r="Y33" s="20">
        <v>0.5</v>
      </c>
      <c r="Z33" s="20">
        <v>1.0</v>
      </c>
      <c r="AA33" s="20">
        <v>0.5</v>
      </c>
      <c r="AB33" s="20">
        <v>1.0</v>
      </c>
      <c r="AC33" s="20">
        <v>1.0</v>
      </c>
      <c r="AD33" s="20">
        <v>1.0</v>
      </c>
      <c r="AE33" s="20">
        <v>1.0</v>
      </c>
      <c r="AF33" s="20">
        <v>1.0</v>
      </c>
      <c r="AG33" s="20">
        <v>1.0</v>
      </c>
      <c r="AH33" s="20">
        <v>1.0</v>
      </c>
      <c r="AI33" s="20">
        <v>1.0</v>
      </c>
      <c r="AJ33" s="20">
        <v>0.5</v>
      </c>
    </row>
    <row r="34" ht="15.75" customHeight="1">
      <c r="A34" s="12">
        <v>33.0</v>
      </c>
      <c r="B34" s="6" t="s">
        <v>192</v>
      </c>
      <c r="C34" s="12" t="s">
        <v>186</v>
      </c>
      <c r="D34" s="12" t="s">
        <v>193</v>
      </c>
      <c r="E34" s="3" t="s">
        <v>194</v>
      </c>
      <c r="F34" s="20">
        <v>0.0</v>
      </c>
      <c r="G34" s="20">
        <v>1.0</v>
      </c>
      <c r="H34" s="20">
        <v>1.0</v>
      </c>
      <c r="I34" s="20">
        <v>0.0</v>
      </c>
      <c r="J34" s="20">
        <v>1.0</v>
      </c>
      <c r="K34" s="20">
        <v>0.5</v>
      </c>
      <c r="L34" s="20">
        <v>1.0</v>
      </c>
      <c r="M34" s="20">
        <v>0.5</v>
      </c>
      <c r="N34" s="20">
        <v>1.0</v>
      </c>
      <c r="O34" s="20">
        <v>1.0</v>
      </c>
      <c r="P34" s="20">
        <v>1.0</v>
      </c>
      <c r="Q34" s="20">
        <v>0.0</v>
      </c>
      <c r="R34" s="20">
        <v>1.0</v>
      </c>
      <c r="S34" s="20">
        <v>1.0</v>
      </c>
      <c r="T34" s="20">
        <v>1.0</v>
      </c>
      <c r="U34" s="20">
        <v>1.0</v>
      </c>
      <c r="V34" s="20">
        <v>1.0</v>
      </c>
      <c r="W34" s="20">
        <v>1.0</v>
      </c>
      <c r="X34" s="20">
        <v>1.0</v>
      </c>
      <c r="Y34" s="20">
        <v>1.0</v>
      </c>
      <c r="Z34" s="20">
        <v>1.0</v>
      </c>
      <c r="AA34" s="20">
        <v>1.0</v>
      </c>
      <c r="AB34" s="20">
        <v>1.0</v>
      </c>
      <c r="AC34" s="20">
        <v>1.0</v>
      </c>
      <c r="AD34" s="20">
        <v>1.0</v>
      </c>
      <c r="AE34" s="20">
        <v>1.0</v>
      </c>
      <c r="AF34" s="20">
        <v>1.0</v>
      </c>
      <c r="AG34" s="20">
        <v>1.0</v>
      </c>
      <c r="AH34" s="20">
        <v>1.0</v>
      </c>
      <c r="AI34" s="20">
        <v>1.0</v>
      </c>
      <c r="AJ34" s="20">
        <v>1.0</v>
      </c>
    </row>
    <row r="35" ht="15.75" customHeight="1">
      <c r="A35" s="12">
        <v>34.0</v>
      </c>
      <c r="B35" s="6" t="s">
        <v>195</v>
      </c>
      <c r="C35" s="12" t="s">
        <v>154</v>
      </c>
      <c r="D35" s="12" t="s">
        <v>196</v>
      </c>
      <c r="E35" s="3" t="s">
        <v>197</v>
      </c>
      <c r="F35" s="20">
        <v>1.0</v>
      </c>
      <c r="G35" s="20">
        <v>1.0</v>
      </c>
      <c r="H35" s="20">
        <v>1.0</v>
      </c>
      <c r="I35" s="20">
        <v>1.0</v>
      </c>
      <c r="J35" s="20">
        <v>1.0</v>
      </c>
      <c r="K35" s="20">
        <v>1.0</v>
      </c>
      <c r="L35" s="20">
        <v>1.0</v>
      </c>
      <c r="M35" s="20">
        <v>1.0</v>
      </c>
      <c r="N35" s="20">
        <v>1.0</v>
      </c>
      <c r="O35" s="20">
        <v>1.0</v>
      </c>
      <c r="P35" s="20">
        <v>1.0</v>
      </c>
      <c r="Q35" s="20">
        <v>1.0</v>
      </c>
      <c r="R35" s="20">
        <v>1.0</v>
      </c>
      <c r="S35" s="20">
        <v>1.0</v>
      </c>
      <c r="T35" s="20">
        <v>1.0</v>
      </c>
      <c r="U35" s="20">
        <v>1.0</v>
      </c>
      <c r="V35" s="20">
        <v>1.0</v>
      </c>
      <c r="W35" s="20">
        <v>0.5</v>
      </c>
      <c r="X35" s="20">
        <v>1.0</v>
      </c>
      <c r="Y35" s="20">
        <v>1.0</v>
      </c>
      <c r="Z35" s="20">
        <v>0.0</v>
      </c>
      <c r="AA35" s="20">
        <v>0.0</v>
      </c>
      <c r="AB35" s="20">
        <v>0.0</v>
      </c>
      <c r="AC35" s="20">
        <v>1.0</v>
      </c>
      <c r="AD35" s="20">
        <v>1.0</v>
      </c>
      <c r="AE35" s="20">
        <v>1.0</v>
      </c>
      <c r="AF35" s="20">
        <v>0.0</v>
      </c>
      <c r="AG35" s="20">
        <v>1.0</v>
      </c>
      <c r="AH35" s="20">
        <v>1.0</v>
      </c>
      <c r="AI35" s="20">
        <v>1.0</v>
      </c>
      <c r="AJ35" s="20">
        <v>1.0</v>
      </c>
    </row>
    <row r="36" ht="15.75" customHeight="1">
      <c r="A36" s="12">
        <v>35.0</v>
      </c>
      <c r="B36" s="6" t="s">
        <v>198</v>
      </c>
      <c r="C36" s="12" t="s">
        <v>154</v>
      </c>
      <c r="D36" s="12" t="s">
        <v>199</v>
      </c>
      <c r="E36" s="3" t="s">
        <v>200</v>
      </c>
      <c r="F36" s="20">
        <v>1.0</v>
      </c>
      <c r="G36" s="20">
        <v>1.0</v>
      </c>
      <c r="H36" s="20">
        <v>0.5</v>
      </c>
      <c r="I36" s="20">
        <v>1.0</v>
      </c>
      <c r="J36" s="20">
        <v>1.0</v>
      </c>
      <c r="K36" s="20">
        <v>1.0</v>
      </c>
      <c r="L36" s="20">
        <v>0.5</v>
      </c>
      <c r="M36" s="20">
        <v>1.0</v>
      </c>
      <c r="N36" s="20">
        <v>1.0</v>
      </c>
      <c r="O36" s="20">
        <v>1.0</v>
      </c>
      <c r="P36" s="20">
        <v>1.0</v>
      </c>
      <c r="Q36" s="20">
        <v>1.0</v>
      </c>
      <c r="R36" s="20">
        <v>1.0</v>
      </c>
      <c r="S36" s="20">
        <v>1.0</v>
      </c>
      <c r="T36" s="20">
        <v>1.0</v>
      </c>
      <c r="U36" s="20">
        <v>1.0</v>
      </c>
      <c r="V36" s="20">
        <v>1.0</v>
      </c>
      <c r="W36" s="20">
        <v>1.0</v>
      </c>
      <c r="X36" s="20">
        <v>1.0</v>
      </c>
      <c r="Y36" s="20">
        <v>1.0</v>
      </c>
      <c r="Z36" s="20">
        <v>1.0</v>
      </c>
      <c r="AA36" s="20">
        <v>0.5</v>
      </c>
      <c r="AB36" s="20">
        <v>0.5</v>
      </c>
      <c r="AC36" s="20">
        <v>1.0</v>
      </c>
      <c r="AD36" s="20">
        <v>1.0</v>
      </c>
      <c r="AE36" s="20">
        <v>1.0</v>
      </c>
      <c r="AF36" s="20">
        <v>0.0</v>
      </c>
      <c r="AG36" s="20">
        <v>1.0</v>
      </c>
      <c r="AH36" s="20">
        <v>1.0</v>
      </c>
      <c r="AI36" s="20">
        <v>1.0</v>
      </c>
      <c r="AJ36" s="20">
        <v>1.0</v>
      </c>
    </row>
    <row r="37" ht="15.75" customHeight="1">
      <c r="A37" s="12">
        <v>36.0</v>
      </c>
      <c r="B37" s="6" t="s">
        <v>201</v>
      </c>
      <c r="C37" s="12" t="s">
        <v>154</v>
      </c>
      <c r="D37" s="12" t="s">
        <v>202</v>
      </c>
      <c r="E37" s="3" t="s">
        <v>203</v>
      </c>
      <c r="F37" s="20">
        <v>1.0</v>
      </c>
      <c r="G37" s="20">
        <v>1.0</v>
      </c>
      <c r="H37" s="20">
        <v>1.0</v>
      </c>
      <c r="I37" s="20">
        <v>1.0</v>
      </c>
      <c r="J37" s="20">
        <v>1.0</v>
      </c>
      <c r="K37" s="20">
        <v>1.0</v>
      </c>
      <c r="L37" s="20">
        <v>0.5</v>
      </c>
      <c r="M37" s="20">
        <v>0.0</v>
      </c>
      <c r="N37" s="20">
        <v>1.0</v>
      </c>
      <c r="O37" s="20">
        <v>1.0</v>
      </c>
      <c r="P37" s="20">
        <v>0.5</v>
      </c>
      <c r="Q37" s="20">
        <v>0.0</v>
      </c>
      <c r="R37" s="20">
        <v>0.5</v>
      </c>
      <c r="S37" s="20">
        <v>0.0</v>
      </c>
      <c r="T37" s="20">
        <v>0.0</v>
      </c>
      <c r="U37" s="20">
        <v>0.5</v>
      </c>
      <c r="V37" s="20">
        <v>0.0</v>
      </c>
      <c r="W37" s="20">
        <v>0.0</v>
      </c>
      <c r="X37" s="20">
        <v>0.0</v>
      </c>
      <c r="Y37" s="20">
        <v>0.0</v>
      </c>
      <c r="Z37" s="20">
        <v>0.0</v>
      </c>
      <c r="AA37" s="20">
        <v>0.0</v>
      </c>
      <c r="AB37" s="20">
        <v>0.0</v>
      </c>
      <c r="AC37" s="20">
        <v>0.0</v>
      </c>
      <c r="AD37" s="20">
        <v>1.0</v>
      </c>
      <c r="AE37" s="20">
        <v>0.0</v>
      </c>
      <c r="AF37" s="20">
        <v>0.0</v>
      </c>
      <c r="AG37" s="20">
        <v>0.5</v>
      </c>
      <c r="AH37" s="20">
        <v>1.0</v>
      </c>
      <c r="AI37" s="20">
        <v>1.0</v>
      </c>
      <c r="AJ37" s="20">
        <v>1.0</v>
      </c>
    </row>
    <row r="38" ht="15.75" customHeight="1">
      <c r="A38" s="12">
        <v>37.0</v>
      </c>
      <c r="B38" s="6" t="s">
        <v>204</v>
      </c>
      <c r="C38" s="12" t="s">
        <v>154</v>
      </c>
      <c r="D38" s="12" t="s">
        <v>205</v>
      </c>
      <c r="E38" s="3" t="s">
        <v>206</v>
      </c>
      <c r="F38" s="20">
        <v>1.0</v>
      </c>
      <c r="G38" s="20">
        <v>1.0</v>
      </c>
      <c r="H38" s="20">
        <v>1.0</v>
      </c>
      <c r="I38" s="20">
        <v>0.0</v>
      </c>
      <c r="J38" s="20">
        <v>1.0</v>
      </c>
      <c r="K38" s="20">
        <v>1.0</v>
      </c>
      <c r="L38" s="20">
        <v>1.0</v>
      </c>
      <c r="M38" s="20">
        <v>0.0</v>
      </c>
      <c r="N38" s="20">
        <v>1.0</v>
      </c>
      <c r="O38" s="20">
        <v>1.0</v>
      </c>
      <c r="P38" s="20">
        <v>1.0</v>
      </c>
      <c r="Q38" s="20">
        <v>1.0</v>
      </c>
      <c r="R38" s="20">
        <v>0.5</v>
      </c>
      <c r="S38" s="20">
        <v>1.0</v>
      </c>
      <c r="T38" s="20">
        <v>0.5</v>
      </c>
      <c r="U38" s="20">
        <v>0.5</v>
      </c>
      <c r="V38" s="20">
        <v>0.5</v>
      </c>
      <c r="W38" s="20">
        <v>1.0</v>
      </c>
      <c r="X38" s="20">
        <v>1.0</v>
      </c>
      <c r="Y38" s="20">
        <v>1.0</v>
      </c>
      <c r="Z38" s="20">
        <v>1.0</v>
      </c>
      <c r="AA38" s="20">
        <v>1.0</v>
      </c>
      <c r="AB38" s="20">
        <v>1.0</v>
      </c>
      <c r="AC38" s="20">
        <v>1.0</v>
      </c>
      <c r="AD38" s="20">
        <v>1.0</v>
      </c>
      <c r="AE38" s="20">
        <v>1.0</v>
      </c>
      <c r="AF38" s="20">
        <v>0.0</v>
      </c>
      <c r="AG38" s="20">
        <v>1.0</v>
      </c>
      <c r="AH38" s="20">
        <v>1.0</v>
      </c>
      <c r="AI38" s="20">
        <v>1.0</v>
      </c>
      <c r="AJ38" s="20">
        <v>1.0</v>
      </c>
    </row>
    <row r="39" ht="15.75" customHeight="1">
      <c r="A39" s="12">
        <v>38.0</v>
      </c>
      <c r="B39" s="6" t="s">
        <v>207</v>
      </c>
      <c r="C39" s="12" t="s">
        <v>208</v>
      </c>
      <c r="D39" s="12" t="s">
        <v>209</v>
      </c>
      <c r="E39" s="3" t="s">
        <v>210</v>
      </c>
      <c r="F39" s="20">
        <v>1.0</v>
      </c>
      <c r="G39" s="20">
        <v>1.0</v>
      </c>
      <c r="H39" s="20">
        <v>1.0</v>
      </c>
      <c r="I39" s="20">
        <v>0.0</v>
      </c>
      <c r="J39" s="20">
        <v>1.0</v>
      </c>
      <c r="K39" s="20">
        <v>1.0</v>
      </c>
      <c r="L39" s="20">
        <v>1.0</v>
      </c>
      <c r="M39" s="20">
        <v>0.0</v>
      </c>
      <c r="N39" s="20">
        <v>1.0</v>
      </c>
      <c r="O39" s="20">
        <v>1.0</v>
      </c>
      <c r="P39" s="20">
        <v>1.0</v>
      </c>
      <c r="Q39" s="20">
        <v>0.0</v>
      </c>
      <c r="R39" s="20">
        <v>0.0</v>
      </c>
      <c r="S39" s="20">
        <v>1.0</v>
      </c>
      <c r="T39" s="20">
        <v>0.0</v>
      </c>
      <c r="U39" s="20">
        <v>0.5</v>
      </c>
      <c r="V39" s="20">
        <v>0.0</v>
      </c>
      <c r="W39" s="20">
        <v>0.0</v>
      </c>
      <c r="X39" s="20">
        <v>1.0</v>
      </c>
      <c r="Y39" s="20">
        <v>1.0</v>
      </c>
      <c r="Z39" s="20">
        <v>1.0</v>
      </c>
      <c r="AA39" s="20">
        <v>0.5</v>
      </c>
      <c r="AB39" s="20">
        <v>1.0</v>
      </c>
      <c r="AC39" s="20">
        <v>0.0</v>
      </c>
      <c r="AD39" s="20">
        <v>0.0</v>
      </c>
      <c r="AE39" s="20">
        <v>1.0</v>
      </c>
      <c r="AF39" s="20">
        <v>0.0</v>
      </c>
      <c r="AG39" s="20">
        <v>0.5</v>
      </c>
      <c r="AH39" s="20">
        <v>1.0</v>
      </c>
      <c r="AI39" s="20">
        <v>1.0</v>
      </c>
      <c r="AJ39" s="20">
        <v>1.0</v>
      </c>
    </row>
    <row r="40" ht="15.75" customHeight="1">
      <c r="A40" s="12">
        <v>39.0</v>
      </c>
      <c r="B40" s="6" t="s">
        <v>211</v>
      </c>
      <c r="C40" s="12" t="s">
        <v>154</v>
      </c>
      <c r="D40" s="12" t="s">
        <v>212</v>
      </c>
      <c r="E40" s="3" t="s">
        <v>213</v>
      </c>
      <c r="F40" s="20">
        <v>1.0</v>
      </c>
      <c r="G40" s="20">
        <v>1.0</v>
      </c>
      <c r="H40" s="20">
        <v>1.0</v>
      </c>
      <c r="I40" s="20">
        <v>1.0</v>
      </c>
      <c r="J40" s="20">
        <v>1.0</v>
      </c>
      <c r="K40" s="20">
        <v>1.0</v>
      </c>
      <c r="L40" s="20">
        <v>1.0</v>
      </c>
      <c r="M40" s="20">
        <v>0.0</v>
      </c>
      <c r="N40" s="20">
        <v>1.0</v>
      </c>
      <c r="O40" s="20">
        <v>1.0</v>
      </c>
      <c r="P40" s="20">
        <v>1.0</v>
      </c>
      <c r="Q40" s="20">
        <v>1.0</v>
      </c>
      <c r="R40" s="20">
        <v>1.0</v>
      </c>
      <c r="S40" s="20">
        <v>0.5</v>
      </c>
      <c r="T40" s="20">
        <v>1.0</v>
      </c>
      <c r="U40" s="20">
        <v>1.0</v>
      </c>
      <c r="V40" s="20">
        <v>0.5</v>
      </c>
      <c r="W40" s="20">
        <v>0.5</v>
      </c>
      <c r="X40" s="20">
        <v>0.0</v>
      </c>
      <c r="Y40" s="20">
        <v>0.0</v>
      </c>
      <c r="Z40" s="20">
        <v>0.0</v>
      </c>
      <c r="AA40" s="20">
        <v>0.0</v>
      </c>
      <c r="AB40" s="20">
        <v>0.0</v>
      </c>
      <c r="AC40" s="20">
        <v>1.0</v>
      </c>
      <c r="AD40" s="20">
        <v>1.0</v>
      </c>
      <c r="AE40" s="20">
        <v>1.0</v>
      </c>
      <c r="AF40" s="20">
        <v>0.0</v>
      </c>
      <c r="AG40" s="20">
        <v>1.0</v>
      </c>
      <c r="AH40" s="20">
        <v>1.0</v>
      </c>
      <c r="AI40" s="20">
        <v>1.0</v>
      </c>
      <c r="AJ40" s="20">
        <v>1.0</v>
      </c>
    </row>
    <row r="41" ht="15.75" customHeight="1">
      <c r="A41" s="12">
        <v>40.0</v>
      </c>
      <c r="B41" s="6" t="s">
        <v>214</v>
      </c>
      <c r="C41" s="12" t="s">
        <v>208</v>
      </c>
      <c r="D41" s="12" t="s">
        <v>215</v>
      </c>
      <c r="E41" s="3" t="s">
        <v>216</v>
      </c>
      <c r="F41" s="20">
        <v>0.5</v>
      </c>
      <c r="G41" s="20">
        <v>1.0</v>
      </c>
      <c r="H41" s="20">
        <v>1.0</v>
      </c>
      <c r="I41" s="20">
        <v>0.0</v>
      </c>
      <c r="J41" s="20">
        <v>0.0</v>
      </c>
      <c r="K41" s="20">
        <v>0.0</v>
      </c>
      <c r="L41" s="20">
        <v>0.0</v>
      </c>
      <c r="M41" s="20">
        <v>0.0</v>
      </c>
      <c r="N41" s="20">
        <v>1.0</v>
      </c>
      <c r="O41" s="20">
        <v>1.0</v>
      </c>
      <c r="P41" s="20">
        <v>1.0</v>
      </c>
      <c r="Q41" s="20">
        <v>0.5</v>
      </c>
      <c r="R41" s="20">
        <v>0.0</v>
      </c>
      <c r="S41" s="20">
        <v>0.0</v>
      </c>
      <c r="T41" s="20">
        <v>0.0</v>
      </c>
      <c r="U41" s="20">
        <v>1.0</v>
      </c>
      <c r="V41" s="20">
        <v>1.0</v>
      </c>
      <c r="W41" s="20">
        <v>0.0</v>
      </c>
      <c r="X41" s="20">
        <v>0.0</v>
      </c>
      <c r="Y41" s="20">
        <v>0.0</v>
      </c>
      <c r="Z41" s="20">
        <v>0.0</v>
      </c>
      <c r="AA41" s="20">
        <v>0.0</v>
      </c>
      <c r="AB41" s="20">
        <v>0.0</v>
      </c>
      <c r="AC41" s="20">
        <v>0.0</v>
      </c>
      <c r="AD41" s="20">
        <v>1.0</v>
      </c>
      <c r="AE41" s="20">
        <v>0.0</v>
      </c>
      <c r="AF41" s="20">
        <v>0.0</v>
      </c>
      <c r="AG41" s="20">
        <v>0.0</v>
      </c>
      <c r="AH41" s="20">
        <v>1.0</v>
      </c>
      <c r="AI41" s="20">
        <v>1.0</v>
      </c>
      <c r="AJ41" s="20">
        <v>1.0</v>
      </c>
    </row>
    <row r="42" ht="15.75" customHeight="1">
      <c r="A42" s="12">
        <v>41.0</v>
      </c>
      <c r="B42" s="6" t="s">
        <v>217</v>
      </c>
      <c r="C42" s="12" t="s">
        <v>154</v>
      </c>
      <c r="D42" s="12" t="s">
        <v>218</v>
      </c>
      <c r="E42" s="3" t="s">
        <v>219</v>
      </c>
      <c r="F42" s="20">
        <v>1.0</v>
      </c>
      <c r="G42" s="20">
        <v>1.0</v>
      </c>
      <c r="H42" s="20">
        <v>1.0</v>
      </c>
      <c r="I42" s="20">
        <v>0.5</v>
      </c>
      <c r="J42" s="20">
        <v>1.0</v>
      </c>
      <c r="K42" s="20">
        <v>1.0</v>
      </c>
      <c r="L42" s="20">
        <v>0.5</v>
      </c>
      <c r="M42" s="20">
        <v>0.0</v>
      </c>
      <c r="N42" s="20">
        <v>1.0</v>
      </c>
      <c r="O42" s="20">
        <v>0.0</v>
      </c>
      <c r="P42" s="20">
        <v>1.0</v>
      </c>
      <c r="Q42" s="20">
        <v>0.0</v>
      </c>
      <c r="R42" s="20">
        <v>0.0</v>
      </c>
      <c r="S42" s="20">
        <v>0.0</v>
      </c>
      <c r="T42" s="20">
        <v>0.0</v>
      </c>
      <c r="U42" s="20">
        <v>0.0</v>
      </c>
      <c r="V42" s="20">
        <v>0.0</v>
      </c>
      <c r="W42" s="20">
        <v>0.0</v>
      </c>
      <c r="X42" s="20">
        <v>0.0</v>
      </c>
      <c r="Y42" s="20">
        <v>0.0</v>
      </c>
      <c r="Z42" s="20">
        <v>0.0</v>
      </c>
      <c r="AA42" s="20">
        <v>0.0</v>
      </c>
      <c r="AB42" s="20">
        <v>0.0</v>
      </c>
      <c r="AC42" s="20">
        <v>0.0</v>
      </c>
      <c r="AD42" s="20">
        <v>0.0</v>
      </c>
      <c r="AE42" s="20">
        <v>1.0</v>
      </c>
      <c r="AF42" s="20">
        <v>0.0</v>
      </c>
      <c r="AG42" s="20">
        <v>0.5</v>
      </c>
      <c r="AH42" s="20">
        <v>1.0</v>
      </c>
      <c r="AI42" s="20">
        <v>1.0</v>
      </c>
      <c r="AJ42" s="20">
        <v>1.0</v>
      </c>
    </row>
    <row r="43" ht="15.75" customHeight="1">
      <c r="A43" s="12">
        <v>42.0</v>
      </c>
      <c r="B43" s="6" t="s">
        <v>220</v>
      </c>
      <c r="C43" s="12" t="s">
        <v>154</v>
      </c>
      <c r="D43" s="12" t="s">
        <v>221</v>
      </c>
      <c r="E43" s="3" t="s">
        <v>222</v>
      </c>
      <c r="F43" s="20">
        <v>0.5</v>
      </c>
      <c r="G43" s="20">
        <v>1.0</v>
      </c>
      <c r="H43" s="20">
        <v>1.0</v>
      </c>
      <c r="I43" s="20">
        <v>0.5</v>
      </c>
      <c r="J43" s="20">
        <v>1.0</v>
      </c>
      <c r="K43" s="20">
        <v>0.5</v>
      </c>
      <c r="L43" s="20">
        <v>1.0</v>
      </c>
      <c r="M43" s="20">
        <v>0.0</v>
      </c>
      <c r="N43" s="20">
        <v>1.0</v>
      </c>
      <c r="O43" s="20">
        <v>1.0</v>
      </c>
      <c r="P43" s="20">
        <v>1.0</v>
      </c>
      <c r="Q43" s="20">
        <v>1.0</v>
      </c>
      <c r="R43" s="20">
        <v>1.0</v>
      </c>
      <c r="S43" s="20">
        <v>1.0</v>
      </c>
      <c r="T43" s="20">
        <v>1.0</v>
      </c>
      <c r="U43" s="20">
        <v>1.0</v>
      </c>
      <c r="V43" s="20">
        <v>0.5</v>
      </c>
      <c r="W43" s="20">
        <v>0.5</v>
      </c>
      <c r="X43" s="20">
        <v>1.0</v>
      </c>
      <c r="Y43" s="20">
        <v>1.0</v>
      </c>
      <c r="Z43" s="20">
        <v>1.0</v>
      </c>
      <c r="AA43" s="20">
        <v>1.0</v>
      </c>
      <c r="AB43" s="20">
        <v>0.0</v>
      </c>
      <c r="AC43" s="20">
        <v>0.0</v>
      </c>
      <c r="AD43" s="20">
        <v>1.0</v>
      </c>
      <c r="AE43" s="20">
        <v>0.0</v>
      </c>
      <c r="AF43" s="20">
        <v>0.0</v>
      </c>
      <c r="AG43" s="20">
        <v>0.5</v>
      </c>
      <c r="AH43" s="20">
        <v>1.0</v>
      </c>
      <c r="AI43" s="20">
        <v>1.0</v>
      </c>
      <c r="AJ43" s="20">
        <v>0.5</v>
      </c>
    </row>
    <row r="44" ht="15.75" customHeight="1">
      <c r="A44" s="12">
        <v>43.0</v>
      </c>
      <c r="B44" s="6" t="s">
        <v>223</v>
      </c>
      <c r="C44" s="12" t="s">
        <v>186</v>
      </c>
      <c r="D44" s="12" t="s">
        <v>224</v>
      </c>
      <c r="E44" s="3" t="s">
        <v>225</v>
      </c>
      <c r="F44" s="20">
        <v>0.5</v>
      </c>
      <c r="G44" s="20">
        <v>1.0</v>
      </c>
      <c r="H44" s="20">
        <v>1.0</v>
      </c>
      <c r="I44" s="20">
        <v>1.0</v>
      </c>
      <c r="J44" s="20">
        <v>1.0</v>
      </c>
      <c r="K44" s="20">
        <v>1.0</v>
      </c>
      <c r="L44" s="20">
        <v>1.0</v>
      </c>
      <c r="M44" s="20">
        <v>1.0</v>
      </c>
      <c r="N44" s="20">
        <v>1.0</v>
      </c>
      <c r="O44" s="20">
        <v>1.0</v>
      </c>
      <c r="P44" s="20">
        <v>1.0</v>
      </c>
      <c r="Q44" s="20">
        <v>1.0</v>
      </c>
      <c r="R44" s="20">
        <v>1.0</v>
      </c>
      <c r="S44" s="20">
        <v>1.0</v>
      </c>
      <c r="T44" s="20">
        <v>1.0</v>
      </c>
      <c r="U44" s="20">
        <v>1.0</v>
      </c>
      <c r="V44" s="20">
        <v>1.0</v>
      </c>
      <c r="W44" s="20">
        <v>1.0</v>
      </c>
      <c r="X44" s="20">
        <v>1.0</v>
      </c>
      <c r="Y44" s="20">
        <v>1.0</v>
      </c>
      <c r="Z44" s="20">
        <v>1.0</v>
      </c>
      <c r="AA44" s="20">
        <v>1.0</v>
      </c>
      <c r="AB44" s="20">
        <v>1.0</v>
      </c>
      <c r="AC44" s="20">
        <v>1.0</v>
      </c>
      <c r="AD44" s="20">
        <v>1.0</v>
      </c>
      <c r="AE44" s="20">
        <v>1.0</v>
      </c>
      <c r="AF44" s="20">
        <v>1.0</v>
      </c>
      <c r="AG44" s="20">
        <v>1.0</v>
      </c>
      <c r="AH44" s="20">
        <v>1.0</v>
      </c>
      <c r="AI44" s="20">
        <v>1.0</v>
      </c>
      <c r="AJ44" s="20">
        <v>0.5</v>
      </c>
    </row>
    <row r="45" ht="15.75" customHeight="1">
      <c r="A45" s="12">
        <v>44.0</v>
      </c>
      <c r="B45" s="6" t="s">
        <v>226</v>
      </c>
      <c r="C45" s="12" t="s">
        <v>227</v>
      </c>
      <c r="D45" s="12" t="s">
        <v>228</v>
      </c>
      <c r="E45" s="3" t="s">
        <v>229</v>
      </c>
      <c r="F45" s="20">
        <v>0.5</v>
      </c>
      <c r="G45" s="20">
        <v>0.0</v>
      </c>
      <c r="H45" s="20">
        <v>0.5</v>
      </c>
      <c r="I45" s="20">
        <v>0.5</v>
      </c>
      <c r="J45" s="20">
        <v>0.0</v>
      </c>
      <c r="K45" s="20">
        <v>0.0</v>
      </c>
      <c r="L45" s="20">
        <v>0.5</v>
      </c>
      <c r="M45" s="20">
        <v>0.0</v>
      </c>
      <c r="N45" s="20">
        <v>1.0</v>
      </c>
      <c r="O45" s="20">
        <v>1.0</v>
      </c>
      <c r="P45" s="20">
        <v>1.0</v>
      </c>
      <c r="Q45" s="20">
        <v>0.0</v>
      </c>
      <c r="R45" s="20">
        <v>1.0</v>
      </c>
      <c r="S45" s="20">
        <v>1.0</v>
      </c>
      <c r="T45" s="20">
        <v>1.0</v>
      </c>
      <c r="U45" s="20">
        <v>1.0</v>
      </c>
      <c r="V45" s="20">
        <v>1.0</v>
      </c>
      <c r="W45" s="20">
        <v>1.0</v>
      </c>
      <c r="X45" s="20">
        <v>1.0</v>
      </c>
      <c r="Y45" s="20">
        <v>1.0</v>
      </c>
      <c r="Z45" s="20">
        <v>1.0</v>
      </c>
      <c r="AA45" s="20">
        <v>1.0</v>
      </c>
      <c r="AB45" s="20">
        <v>1.0</v>
      </c>
      <c r="AC45" s="20">
        <v>1.0</v>
      </c>
      <c r="AD45" s="20">
        <v>1.0</v>
      </c>
      <c r="AE45" s="20">
        <v>1.0</v>
      </c>
      <c r="AF45" s="20">
        <v>1.0</v>
      </c>
      <c r="AG45" s="20">
        <v>0.5</v>
      </c>
      <c r="AH45" s="20">
        <v>1.0</v>
      </c>
      <c r="AI45" s="20">
        <v>1.0</v>
      </c>
      <c r="AJ45" s="20">
        <v>0.0</v>
      </c>
    </row>
    <row r="46" ht="15.75" customHeight="1">
      <c r="A46" s="12">
        <v>45.0</v>
      </c>
      <c r="B46" s="6" t="s">
        <v>230</v>
      </c>
      <c r="C46" s="12" t="s">
        <v>119</v>
      </c>
      <c r="D46" s="12" t="s">
        <v>231</v>
      </c>
      <c r="E46" s="3" t="s">
        <v>232</v>
      </c>
      <c r="F46" s="20">
        <v>0.0</v>
      </c>
      <c r="G46" s="20">
        <v>0.0</v>
      </c>
      <c r="H46" s="20">
        <v>0.0</v>
      </c>
      <c r="I46" s="20">
        <v>0.0</v>
      </c>
      <c r="J46" s="20">
        <v>1.0</v>
      </c>
      <c r="K46" s="20">
        <v>0.5</v>
      </c>
      <c r="L46" s="20">
        <v>0.0</v>
      </c>
      <c r="M46" s="20">
        <v>0.0</v>
      </c>
      <c r="N46" s="20">
        <v>1.0</v>
      </c>
      <c r="O46" s="20">
        <v>1.0</v>
      </c>
      <c r="P46" s="20">
        <v>1.0</v>
      </c>
      <c r="Q46" s="20">
        <v>1.0</v>
      </c>
      <c r="R46" s="20">
        <v>1.0</v>
      </c>
      <c r="S46" s="20">
        <v>1.0</v>
      </c>
      <c r="T46" s="20">
        <v>1.0</v>
      </c>
      <c r="U46" s="20">
        <v>1.0</v>
      </c>
      <c r="V46" s="20">
        <v>1.0</v>
      </c>
      <c r="W46" s="20">
        <v>1.0</v>
      </c>
      <c r="X46" s="20">
        <v>1.0</v>
      </c>
      <c r="Y46" s="20">
        <v>1.0</v>
      </c>
      <c r="Z46" s="20">
        <v>1.0</v>
      </c>
      <c r="AA46" s="20">
        <v>1.0</v>
      </c>
      <c r="AB46" s="20">
        <v>1.0</v>
      </c>
      <c r="AC46" s="20">
        <v>1.0</v>
      </c>
      <c r="AD46" s="20">
        <v>1.0</v>
      </c>
      <c r="AE46" s="20">
        <v>1.0</v>
      </c>
      <c r="AF46" s="20">
        <v>1.0</v>
      </c>
      <c r="AG46" s="20">
        <v>0.5</v>
      </c>
      <c r="AH46" s="20">
        <v>1.0</v>
      </c>
      <c r="AI46" s="20">
        <v>0.5</v>
      </c>
      <c r="AJ46" s="20">
        <v>0.0</v>
      </c>
    </row>
    <row r="47" ht="15.75" customHeight="1">
      <c r="A47" s="12">
        <v>46.0</v>
      </c>
      <c r="B47" s="6" t="s">
        <v>233</v>
      </c>
      <c r="C47" s="12" t="s">
        <v>119</v>
      </c>
      <c r="D47" s="12" t="s">
        <v>234</v>
      </c>
      <c r="E47" s="3" t="s">
        <v>235</v>
      </c>
      <c r="F47" s="20">
        <v>0.0</v>
      </c>
      <c r="G47" s="20">
        <v>0.0</v>
      </c>
      <c r="H47" s="20">
        <v>0.0</v>
      </c>
      <c r="I47" s="20">
        <v>0.0</v>
      </c>
      <c r="J47" s="20">
        <v>1.0</v>
      </c>
      <c r="K47" s="20">
        <v>0.5</v>
      </c>
      <c r="L47" s="20">
        <v>0.0</v>
      </c>
      <c r="M47" s="20">
        <v>0.0</v>
      </c>
      <c r="N47" s="20">
        <v>1.0</v>
      </c>
      <c r="O47" s="20">
        <v>1.0</v>
      </c>
      <c r="P47" s="20">
        <v>1.0</v>
      </c>
      <c r="Q47" s="20">
        <v>0.0</v>
      </c>
      <c r="R47" s="20">
        <v>1.0</v>
      </c>
      <c r="S47" s="20">
        <v>0.0</v>
      </c>
      <c r="T47" s="20">
        <v>1.0</v>
      </c>
      <c r="U47" s="20">
        <v>1.0</v>
      </c>
      <c r="V47" s="20">
        <v>0.5</v>
      </c>
      <c r="W47" s="20">
        <v>1.0</v>
      </c>
      <c r="X47" s="20">
        <v>0.0</v>
      </c>
      <c r="Y47" s="20">
        <v>0.0</v>
      </c>
      <c r="Z47" s="20">
        <v>0.0</v>
      </c>
      <c r="AA47" s="20">
        <v>0.0</v>
      </c>
      <c r="AB47" s="20">
        <v>0.0</v>
      </c>
      <c r="AC47" s="20">
        <v>1.0</v>
      </c>
      <c r="AD47" s="20">
        <v>1.0</v>
      </c>
      <c r="AE47" s="20">
        <v>1.0</v>
      </c>
      <c r="AF47" s="20">
        <v>1.0</v>
      </c>
      <c r="AG47" s="20">
        <v>0.5</v>
      </c>
      <c r="AH47" s="20">
        <v>1.0</v>
      </c>
      <c r="AI47" s="20">
        <v>1.0</v>
      </c>
      <c r="AJ47" s="20">
        <v>0.5</v>
      </c>
    </row>
    <row r="48" ht="15.75" customHeight="1">
      <c r="A48" s="12">
        <v>47.0</v>
      </c>
      <c r="B48" s="6" t="s">
        <v>236</v>
      </c>
      <c r="C48" s="12" t="s">
        <v>119</v>
      </c>
      <c r="D48" s="12" t="s">
        <v>237</v>
      </c>
      <c r="E48" s="3" t="s">
        <v>238</v>
      </c>
      <c r="F48" s="20">
        <v>0.0</v>
      </c>
      <c r="G48" s="20">
        <v>0.0</v>
      </c>
      <c r="H48" s="20">
        <v>0.0</v>
      </c>
      <c r="I48" s="20">
        <v>0.0</v>
      </c>
      <c r="J48" s="20">
        <v>1.0</v>
      </c>
      <c r="K48" s="20">
        <v>0.5</v>
      </c>
      <c r="L48" s="20">
        <v>0.0</v>
      </c>
      <c r="M48" s="20">
        <v>0.0</v>
      </c>
      <c r="N48" s="20">
        <v>1.0</v>
      </c>
      <c r="O48" s="20">
        <v>1.0</v>
      </c>
      <c r="P48" s="20">
        <v>1.0</v>
      </c>
      <c r="Q48" s="20">
        <v>0.5</v>
      </c>
      <c r="R48" s="20">
        <v>1.0</v>
      </c>
      <c r="S48" s="20">
        <v>1.0</v>
      </c>
      <c r="T48" s="20">
        <v>1.0</v>
      </c>
      <c r="U48" s="20">
        <v>1.0</v>
      </c>
      <c r="V48" s="20">
        <v>0.5</v>
      </c>
      <c r="W48" s="20">
        <v>1.0</v>
      </c>
      <c r="X48" s="20">
        <v>1.0</v>
      </c>
      <c r="Y48" s="20">
        <v>1.0</v>
      </c>
      <c r="Z48" s="20">
        <v>1.0</v>
      </c>
      <c r="AA48" s="20">
        <v>1.0</v>
      </c>
      <c r="AB48" s="20">
        <v>1.0</v>
      </c>
      <c r="AC48" s="20">
        <v>1.0</v>
      </c>
      <c r="AD48" s="20">
        <v>1.0</v>
      </c>
      <c r="AE48" s="20">
        <v>1.0</v>
      </c>
      <c r="AF48" s="20">
        <v>0.5</v>
      </c>
      <c r="AG48" s="20">
        <v>1.0</v>
      </c>
      <c r="AH48" s="20">
        <v>0.5</v>
      </c>
      <c r="AI48" s="20">
        <v>1.0</v>
      </c>
      <c r="AJ48" s="20">
        <v>0.0</v>
      </c>
    </row>
    <row r="49" ht="15.75" customHeight="1">
      <c r="A49" s="12">
        <v>48.0</v>
      </c>
      <c r="B49" s="6" t="s">
        <v>239</v>
      </c>
      <c r="C49" s="12" t="s">
        <v>240</v>
      </c>
      <c r="D49" s="12" t="s">
        <v>51</v>
      </c>
      <c r="E49" s="3" t="s">
        <v>241</v>
      </c>
      <c r="F49" s="20">
        <v>0.0</v>
      </c>
      <c r="G49" s="20">
        <v>0.0</v>
      </c>
      <c r="H49" s="20">
        <v>0.0</v>
      </c>
      <c r="I49" s="20">
        <v>0.0</v>
      </c>
      <c r="J49" s="20">
        <v>0.5</v>
      </c>
      <c r="K49" s="20">
        <v>0.0</v>
      </c>
      <c r="L49" s="20">
        <v>0.0</v>
      </c>
      <c r="M49" s="20">
        <v>0.0</v>
      </c>
      <c r="N49" s="20">
        <v>1.0</v>
      </c>
      <c r="O49" s="20">
        <v>1.0</v>
      </c>
      <c r="P49" s="20">
        <v>1.0</v>
      </c>
      <c r="Q49" s="20">
        <v>1.0</v>
      </c>
      <c r="R49" s="20">
        <v>1.0</v>
      </c>
      <c r="S49" s="20">
        <v>1.0</v>
      </c>
      <c r="T49" s="20">
        <v>1.0</v>
      </c>
      <c r="U49" s="20">
        <v>1.0</v>
      </c>
      <c r="V49" s="20">
        <v>1.0</v>
      </c>
      <c r="W49" s="20">
        <v>1.0</v>
      </c>
      <c r="X49" s="20">
        <v>1.0</v>
      </c>
      <c r="Y49" s="20">
        <v>1.0</v>
      </c>
      <c r="Z49" s="20">
        <v>1.0</v>
      </c>
      <c r="AA49" s="20">
        <v>1.0</v>
      </c>
      <c r="AB49" s="20">
        <v>0.0</v>
      </c>
      <c r="AC49" s="20">
        <v>1.0</v>
      </c>
      <c r="AD49" s="20">
        <v>1.0</v>
      </c>
      <c r="AE49" s="20">
        <v>0.0</v>
      </c>
      <c r="AF49" s="20">
        <v>0.0</v>
      </c>
      <c r="AG49" s="20">
        <v>0.0</v>
      </c>
      <c r="AH49" s="20">
        <v>1.0</v>
      </c>
      <c r="AI49" s="20">
        <v>0.5</v>
      </c>
      <c r="AJ49" s="20">
        <v>0.0</v>
      </c>
    </row>
    <row r="50" ht="15.75" customHeight="1">
      <c r="A50" s="12">
        <v>49.0</v>
      </c>
      <c r="B50" s="6" t="s">
        <v>242</v>
      </c>
      <c r="C50" s="12" t="s">
        <v>243</v>
      </c>
      <c r="D50" s="12" t="s">
        <v>105</v>
      </c>
      <c r="E50" s="3" t="s">
        <v>244</v>
      </c>
      <c r="F50" s="20">
        <v>0.0</v>
      </c>
      <c r="G50" s="20">
        <v>0.0</v>
      </c>
      <c r="H50" s="20">
        <v>0.0</v>
      </c>
      <c r="I50" s="20">
        <v>0.0</v>
      </c>
      <c r="J50" s="20">
        <v>0.0</v>
      </c>
      <c r="K50" s="20">
        <v>0.0</v>
      </c>
      <c r="L50" s="20">
        <v>0.0</v>
      </c>
      <c r="M50" s="20">
        <v>0.0</v>
      </c>
      <c r="N50" s="20">
        <v>1.0</v>
      </c>
      <c r="O50" s="20">
        <v>1.0</v>
      </c>
      <c r="P50" s="20">
        <v>1.0</v>
      </c>
      <c r="Q50" s="20">
        <v>0.5</v>
      </c>
      <c r="R50" s="20">
        <v>0.0</v>
      </c>
      <c r="S50" s="20">
        <v>0.0</v>
      </c>
      <c r="T50" s="20">
        <v>0.0</v>
      </c>
      <c r="U50" s="20">
        <v>1.0</v>
      </c>
      <c r="V50" s="20">
        <v>0.0</v>
      </c>
      <c r="W50" s="20">
        <v>1.0</v>
      </c>
      <c r="X50" s="20">
        <v>1.0</v>
      </c>
      <c r="Y50" s="20">
        <v>0.0</v>
      </c>
      <c r="Z50" s="20">
        <v>0.5</v>
      </c>
      <c r="AA50" s="20">
        <v>0.0</v>
      </c>
      <c r="AB50" s="20">
        <v>0.0</v>
      </c>
      <c r="AC50" s="20">
        <v>1.0</v>
      </c>
      <c r="AD50" s="20">
        <v>1.0</v>
      </c>
      <c r="AE50" s="20">
        <v>0.0</v>
      </c>
      <c r="AF50" s="20">
        <v>1.0</v>
      </c>
      <c r="AG50" s="20">
        <v>0.0</v>
      </c>
      <c r="AH50" s="20">
        <v>1.0</v>
      </c>
      <c r="AI50" s="20">
        <v>0.0</v>
      </c>
      <c r="AJ50" s="20">
        <v>0.0</v>
      </c>
    </row>
    <row r="51" ht="15.75" customHeight="1">
      <c r="A51" s="12">
        <v>50.0</v>
      </c>
      <c r="B51" s="6" t="s">
        <v>245</v>
      </c>
      <c r="C51" s="12" t="s">
        <v>246</v>
      </c>
      <c r="D51" s="12" t="s">
        <v>247</v>
      </c>
      <c r="E51" s="3" t="s">
        <v>248</v>
      </c>
      <c r="F51" s="20">
        <v>0.5</v>
      </c>
      <c r="G51" s="20">
        <v>0.0</v>
      </c>
      <c r="H51" s="20">
        <v>0.0</v>
      </c>
      <c r="I51" s="20">
        <v>0.0</v>
      </c>
      <c r="J51" s="20">
        <v>0.0</v>
      </c>
      <c r="K51" s="20">
        <v>0.0</v>
      </c>
      <c r="L51" s="20">
        <v>0.0</v>
      </c>
      <c r="M51" s="20">
        <v>0.0</v>
      </c>
      <c r="N51" s="20">
        <v>1.0</v>
      </c>
      <c r="O51" s="20">
        <v>1.0</v>
      </c>
      <c r="P51" s="20">
        <v>1.0</v>
      </c>
      <c r="Q51" s="20">
        <v>1.0</v>
      </c>
      <c r="R51" s="20">
        <v>1.0</v>
      </c>
      <c r="S51" s="20">
        <v>1.0</v>
      </c>
      <c r="T51" s="20">
        <v>0.5</v>
      </c>
      <c r="U51" s="20">
        <v>1.0</v>
      </c>
      <c r="V51" s="20">
        <v>0.5</v>
      </c>
      <c r="W51" s="20">
        <v>1.0</v>
      </c>
      <c r="X51" s="20">
        <v>1.0</v>
      </c>
      <c r="Y51" s="20">
        <v>1.0</v>
      </c>
      <c r="Z51" s="20">
        <v>1.0</v>
      </c>
      <c r="AA51" s="20">
        <v>0.5</v>
      </c>
      <c r="AB51" s="20">
        <v>0.0</v>
      </c>
      <c r="AC51" s="20">
        <v>1.0</v>
      </c>
      <c r="AD51" s="20">
        <v>1.0</v>
      </c>
      <c r="AE51" s="20">
        <v>0.5</v>
      </c>
      <c r="AF51" s="20">
        <v>1.0</v>
      </c>
      <c r="AG51" s="20">
        <v>0.5</v>
      </c>
      <c r="AH51" s="20">
        <v>1.0</v>
      </c>
      <c r="AI51" s="20">
        <v>0.5</v>
      </c>
      <c r="AJ51" s="20">
        <v>0.0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4.0"/>
    <col customWidth="1" min="3" max="3" width="22.0"/>
    <col customWidth="1" min="4" max="4" width="14.0"/>
    <col customWidth="1" min="5" max="5" width="55.0"/>
    <col customWidth="1" min="6" max="36" width="8.71"/>
  </cols>
  <sheetData>
    <row r="1">
      <c r="A1" s="2" t="s">
        <v>1</v>
      </c>
    </row>
    <row r="2" ht="259.5" customHeight="1">
      <c r="A2" s="3" t="s">
        <v>6</v>
      </c>
    </row>
    <row r="4">
      <c r="A4" s="6" t="s">
        <v>11</v>
      </c>
    </row>
    <row r="5">
      <c r="A5" s="8" t="s">
        <v>3</v>
      </c>
      <c r="B5" s="8" t="s">
        <v>21</v>
      </c>
      <c r="C5" s="8" t="s">
        <v>24</v>
      </c>
      <c r="D5" s="8" t="s">
        <v>27</v>
      </c>
    </row>
    <row r="6">
      <c r="A6" s="12" t="s">
        <v>30</v>
      </c>
      <c r="B6" s="12">
        <v>8.0</v>
      </c>
      <c r="C6" s="12">
        <v>50.0</v>
      </c>
      <c r="D6" s="14">
        <v>0.5</v>
      </c>
    </row>
    <row r="7">
      <c r="A7" s="12" t="s">
        <v>39</v>
      </c>
      <c r="B7" s="12">
        <v>10.0</v>
      </c>
      <c r="C7" s="12">
        <v>20.0</v>
      </c>
      <c r="D7" s="14">
        <v>0.2</v>
      </c>
    </row>
    <row r="8">
      <c r="A8" s="12" t="s">
        <v>45</v>
      </c>
      <c r="B8" s="12">
        <v>5.0</v>
      </c>
      <c r="C8" s="12">
        <v>10.0</v>
      </c>
      <c r="D8" s="14">
        <v>0.1</v>
      </c>
    </row>
    <row r="9">
      <c r="A9" s="12" t="s">
        <v>49</v>
      </c>
      <c r="B9" s="12">
        <v>5.0</v>
      </c>
      <c r="C9" s="12">
        <v>10.0</v>
      </c>
      <c r="D9" s="14">
        <v>0.1</v>
      </c>
    </row>
    <row r="10">
      <c r="A10" s="12" t="s">
        <v>55</v>
      </c>
      <c r="B10" s="12">
        <v>3.0</v>
      </c>
      <c r="C10" s="12">
        <v>10.0</v>
      </c>
      <c r="D10" s="14">
        <v>0.1</v>
      </c>
    </row>
    <row r="11">
      <c r="A11" s="6" t="s">
        <v>59</v>
      </c>
      <c r="C11" s="6">
        <f t="shared" ref="C11:D11" si="1">SUM(C6:C10)</f>
        <v>100</v>
      </c>
      <c r="D11" s="18">
        <f t="shared" si="1"/>
        <v>1</v>
      </c>
    </row>
    <row r="14">
      <c r="A14" s="6" t="s">
        <v>77</v>
      </c>
    </row>
    <row r="15">
      <c r="A15" s="8" t="s">
        <v>81</v>
      </c>
      <c r="B15" s="8" t="s">
        <v>83</v>
      </c>
      <c r="C15" s="8" t="s">
        <v>3</v>
      </c>
      <c r="D15" s="8" t="s">
        <v>86</v>
      </c>
      <c r="E15" s="8" t="s">
        <v>88</v>
      </c>
    </row>
    <row r="16">
      <c r="A16" s="12">
        <v>1.0</v>
      </c>
      <c r="B16" s="12" t="s">
        <v>7</v>
      </c>
      <c r="C16" s="12" t="s">
        <v>30</v>
      </c>
      <c r="D16" s="12">
        <v>15.0</v>
      </c>
      <c r="E16" s="21" t="s">
        <v>91</v>
      </c>
    </row>
    <row r="17">
      <c r="A17" s="12">
        <v>2.0</v>
      </c>
      <c r="B17" s="12" t="s">
        <v>10</v>
      </c>
      <c r="C17" s="12" t="s">
        <v>30</v>
      </c>
      <c r="D17" s="12">
        <v>5.0</v>
      </c>
      <c r="E17" s="21" t="s">
        <v>95</v>
      </c>
    </row>
    <row r="18">
      <c r="A18" s="12">
        <v>3.0</v>
      </c>
      <c r="B18" s="12" t="s">
        <v>13</v>
      </c>
      <c r="C18" s="12" t="s">
        <v>30</v>
      </c>
      <c r="D18" s="12">
        <v>5.0</v>
      </c>
      <c r="E18" s="21" t="s">
        <v>95</v>
      </c>
    </row>
    <row r="19">
      <c r="A19" s="12">
        <v>4.0</v>
      </c>
      <c r="B19" s="12" t="s">
        <v>15</v>
      </c>
      <c r="C19" s="12" t="s">
        <v>30</v>
      </c>
      <c r="D19" s="12">
        <v>5.0</v>
      </c>
      <c r="E19" s="21" t="s">
        <v>95</v>
      </c>
    </row>
    <row r="20">
      <c r="A20" s="12">
        <v>5.0</v>
      </c>
      <c r="B20" s="12" t="s">
        <v>17</v>
      </c>
      <c r="C20" s="12" t="s">
        <v>30</v>
      </c>
      <c r="D20" s="12">
        <v>5.0</v>
      </c>
      <c r="E20" s="21" t="s">
        <v>95</v>
      </c>
    </row>
    <row r="21" ht="15.75" customHeight="1">
      <c r="A21" s="12">
        <v>6.0</v>
      </c>
      <c r="B21" s="12" t="s">
        <v>19</v>
      </c>
      <c r="C21" s="12" t="s">
        <v>30</v>
      </c>
      <c r="D21" s="12">
        <v>5.0</v>
      </c>
      <c r="E21" s="21" t="s">
        <v>95</v>
      </c>
    </row>
    <row r="22" ht="15.75" customHeight="1">
      <c r="A22" s="12">
        <v>7.0</v>
      </c>
      <c r="B22" s="12" t="s">
        <v>23</v>
      </c>
      <c r="C22" s="12" t="s">
        <v>30</v>
      </c>
      <c r="D22" s="12">
        <v>5.0</v>
      </c>
      <c r="E22" s="21" t="s">
        <v>95</v>
      </c>
    </row>
    <row r="23" ht="15.75" customHeight="1">
      <c r="A23" s="12">
        <v>8.0</v>
      </c>
      <c r="B23" s="12" t="s">
        <v>25</v>
      </c>
      <c r="C23" s="12" t="s">
        <v>30</v>
      </c>
      <c r="D23" s="12">
        <v>5.0</v>
      </c>
      <c r="E23" s="21" t="s">
        <v>95</v>
      </c>
    </row>
    <row r="24" ht="15.75" customHeight="1">
      <c r="A24" s="12">
        <v>9.0</v>
      </c>
      <c r="B24" s="12" t="s">
        <v>29</v>
      </c>
      <c r="C24" s="12" t="s">
        <v>39</v>
      </c>
      <c r="D24" s="12">
        <v>2.0</v>
      </c>
      <c r="E24" s="21" t="s">
        <v>95</v>
      </c>
    </row>
    <row r="25" ht="15.75" customHeight="1">
      <c r="A25" s="12">
        <v>10.0</v>
      </c>
      <c r="B25" s="12" t="s">
        <v>33</v>
      </c>
      <c r="C25" s="12" t="s">
        <v>39</v>
      </c>
      <c r="D25" s="12">
        <v>2.0</v>
      </c>
      <c r="E25" s="21" t="s">
        <v>95</v>
      </c>
    </row>
    <row r="26" ht="15.75" customHeight="1">
      <c r="A26" s="12">
        <v>11.0</v>
      </c>
      <c r="B26" s="12" t="s">
        <v>35</v>
      </c>
      <c r="C26" s="12" t="s">
        <v>39</v>
      </c>
      <c r="D26" s="12">
        <v>2.0</v>
      </c>
      <c r="E26" s="21" t="s">
        <v>95</v>
      </c>
    </row>
    <row r="27" ht="15.75" customHeight="1">
      <c r="A27" s="12">
        <v>12.0</v>
      </c>
      <c r="B27" s="12" t="s">
        <v>38</v>
      </c>
      <c r="C27" s="12" t="s">
        <v>39</v>
      </c>
      <c r="D27" s="12">
        <v>2.0</v>
      </c>
      <c r="E27" s="21" t="s">
        <v>95</v>
      </c>
    </row>
    <row r="28" ht="15.75" customHeight="1">
      <c r="A28" s="12">
        <v>13.0</v>
      </c>
      <c r="B28" s="12" t="s">
        <v>41</v>
      </c>
      <c r="C28" s="12" t="s">
        <v>39</v>
      </c>
      <c r="D28" s="12">
        <v>2.0</v>
      </c>
      <c r="E28" s="21" t="s">
        <v>95</v>
      </c>
    </row>
    <row r="29" ht="15.75" customHeight="1">
      <c r="A29" s="12">
        <v>14.0</v>
      </c>
      <c r="B29" s="12" t="s">
        <v>42</v>
      </c>
      <c r="C29" s="12" t="s">
        <v>39</v>
      </c>
      <c r="D29" s="12">
        <v>2.0</v>
      </c>
      <c r="E29" s="21" t="s">
        <v>95</v>
      </c>
    </row>
    <row r="30" ht="15.75" customHeight="1">
      <c r="A30" s="12">
        <v>15.0</v>
      </c>
      <c r="B30" s="12" t="s">
        <v>44</v>
      </c>
      <c r="C30" s="12" t="s">
        <v>39</v>
      </c>
      <c r="D30" s="12">
        <v>2.0</v>
      </c>
      <c r="E30" s="21" t="s">
        <v>95</v>
      </c>
    </row>
    <row r="31" ht="15.75" customHeight="1">
      <c r="A31" s="12">
        <v>16.0</v>
      </c>
      <c r="B31" s="12" t="s">
        <v>46</v>
      </c>
      <c r="C31" s="12" t="s">
        <v>39</v>
      </c>
      <c r="D31" s="12">
        <v>2.0</v>
      </c>
      <c r="E31" s="21" t="s">
        <v>95</v>
      </c>
    </row>
    <row r="32" ht="15.75" customHeight="1">
      <c r="A32" s="12">
        <v>17.0</v>
      </c>
      <c r="B32" s="12" t="s">
        <v>48</v>
      </c>
      <c r="C32" s="12" t="s">
        <v>39</v>
      </c>
      <c r="D32" s="12">
        <v>2.0</v>
      </c>
      <c r="E32" s="21" t="s">
        <v>95</v>
      </c>
    </row>
    <row r="33" ht="15.75" customHeight="1">
      <c r="A33" s="12">
        <v>18.0</v>
      </c>
      <c r="B33" s="12" t="s">
        <v>52</v>
      </c>
      <c r="C33" s="12" t="s">
        <v>39</v>
      </c>
      <c r="D33" s="12">
        <v>2.0</v>
      </c>
      <c r="E33" s="21" t="s">
        <v>95</v>
      </c>
    </row>
    <row r="34" ht="15.75" customHeight="1">
      <c r="A34" s="12">
        <v>19.0</v>
      </c>
      <c r="B34" s="12" t="s">
        <v>56</v>
      </c>
      <c r="C34" s="12" t="s">
        <v>45</v>
      </c>
      <c r="D34" s="12">
        <v>2.0</v>
      </c>
      <c r="E34" s="21" t="s">
        <v>95</v>
      </c>
    </row>
    <row r="35" ht="15.75" customHeight="1">
      <c r="A35" s="12">
        <v>20.0</v>
      </c>
      <c r="B35" s="12" t="s">
        <v>58</v>
      </c>
      <c r="C35" s="12" t="s">
        <v>45</v>
      </c>
      <c r="D35" s="12">
        <v>2.0</v>
      </c>
      <c r="E35" s="21" t="s">
        <v>95</v>
      </c>
    </row>
    <row r="36" ht="15.75" customHeight="1">
      <c r="A36" s="12">
        <v>21.0</v>
      </c>
      <c r="B36" s="12" t="s">
        <v>60</v>
      </c>
      <c r="C36" s="12" t="s">
        <v>45</v>
      </c>
      <c r="D36" s="12">
        <v>2.0</v>
      </c>
      <c r="E36" s="21" t="s">
        <v>95</v>
      </c>
    </row>
    <row r="37" ht="15.75" customHeight="1">
      <c r="A37" s="12">
        <v>22.0</v>
      </c>
      <c r="B37" s="12" t="s">
        <v>62</v>
      </c>
      <c r="C37" s="12" t="s">
        <v>45</v>
      </c>
      <c r="D37" s="12">
        <v>2.0</v>
      </c>
      <c r="E37" s="21" t="s">
        <v>95</v>
      </c>
    </row>
    <row r="38" ht="15.75" customHeight="1">
      <c r="A38" s="12">
        <v>23.0</v>
      </c>
      <c r="B38" s="12" t="s">
        <v>64</v>
      </c>
      <c r="C38" s="12" t="s">
        <v>45</v>
      </c>
      <c r="D38" s="12">
        <v>2.0</v>
      </c>
      <c r="E38" s="21" t="s">
        <v>95</v>
      </c>
    </row>
    <row r="39" ht="15.75" customHeight="1">
      <c r="A39" s="12">
        <v>24.0</v>
      </c>
      <c r="B39" s="12" t="s">
        <v>66</v>
      </c>
      <c r="C39" s="12" t="s">
        <v>49</v>
      </c>
      <c r="D39" s="12">
        <v>1.5</v>
      </c>
      <c r="E39" s="21" t="s">
        <v>95</v>
      </c>
    </row>
    <row r="40" ht="15.75" customHeight="1">
      <c r="A40" s="12">
        <v>25.0</v>
      </c>
      <c r="B40" s="12" t="s">
        <v>68</v>
      </c>
      <c r="C40" s="12" t="s">
        <v>49</v>
      </c>
      <c r="D40" s="12">
        <v>1.5</v>
      </c>
      <c r="E40" s="21" t="s">
        <v>95</v>
      </c>
    </row>
    <row r="41" ht="15.75" customHeight="1">
      <c r="A41" s="12">
        <v>26.0</v>
      </c>
      <c r="B41" s="12" t="s">
        <v>69</v>
      </c>
      <c r="C41" s="12" t="s">
        <v>49</v>
      </c>
      <c r="D41" s="12">
        <v>2.0</v>
      </c>
      <c r="E41" s="21" t="s">
        <v>95</v>
      </c>
    </row>
    <row r="42" ht="15.75" customHeight="1">
      <c r="A42" s="12">
        <v>27.0</v>
      </c>
      <c r="B42" s="12" t="s">
        <v>71</v>
      </c>
      <c r="C42" s="12" t="s">
        <v>49</v>
      </c>
      <c r="D42" s="12">
        <v>2.0</v>
      </c>
      <c r="E42" s="21" t="s">
        <v>95</v>
      </c>
    </row>
    <row r="43" ht="15.75" customHeight="1">
      <c r="A43" s="12">
        <v>28.0</v>
      </c>
      <c r="B43" s="12" t="s">
        <v>73</v>
      </c>
      <c r="C43" s="12" t="s">
        <v>49</v>
      </c>
      <c r="D43" s="12">
        <v>3.0</v>
      </c>
      <c r="E43" s="21" t="s">
        <v>95</v>
      </c>
    </row>
    <row r="44" ht="15.75" customHeight="1">
      <c r="A44" s="12">
        <v>29.0</v>
      </c>
      <c r="B44" s="12" t="s">
        <v>75</v>
      </c>
      <c r="C44" s="12" t="s">
        <v>55</v>
      </c>
      <c r="D44" s="12">
        <v>3.0</v>
      </c>
      <c r="E44" s="21" t="s">
        <v>95</v>
      </c>
    </row>
    <row r="45" ht="15.75" customHeight="1">
      <c r="A45" s="12">
        <v>30.0</v>
      </c>
      <c r="B45" s="12" t="s">
        <v>78</v>
      </c>
      <c r="C45" s="12" t="s">
        <v>55</v>
      </c>
      <c r="D45" s="12">
        <v>4.0</v>
      </c>
      <c r="E45" s="21" t="s">
        <v>95</v>
      </c>
    </row>
    <row r="46" ht="15.75" customHeight="1">
      <c r="A46" s="12">
        <v>31.0</v>
      </c>
      <c r="B46" s="12" t="s">
        <v>80</v>
      </c>
      <c r="C46" s="12" t="s">
        <v>55</v>
      </c>
      <c r="D46" s="12">
        <v>3.0</v>
      </c>
      <c r="E46" s="21" t="s">
        <v>95</v>
      </c>
    </row>
    <row r="47" ht="15.75" customHeight="1"/>
    <row r="48" ht="15.75" customHeight="1"/>
    <row r="49" ht="15.75" customHeight="1">
      <c r="A49" s="24" t="s">
        <v>107</v>
      </c>
    </row>
    <row r="50" ht="15.75" customHeight="1">
      <c r="A50" s="6" t="s">
        <v>108</v>
      </c>
      <c r="F50" s="12">
        <v>15.0</v>
      </c>
      <c r="G50" s="12">
        <v>5.0</v>
      </c>
      <c r="H50" s="12">
        <v>5.0</v>
      </c>
      <c r="I50" s="12">
        <v>5.0</v>
      </c>
      <c r="J50" s="12">
        <v>5.0</v>
      </c>
      <c r="K50" s="12">
        <v>5.0</v>
      </c>
      <c r="L50" s="12">
        <v>5.0</v>
      </c>
      <c r="M50" s="12">
        <v>5.0</v>
      </c>
      <c r="N50" s="12">
        <v>2.0</v>
      </c>
      <c r="O50" s="12">
        <v>2.0</v>
      </c>
      <c r="P50" s="12">
        <v>2.0</v>
      </c>
      <c r="Q50" s="12">
        <v>2.0</v>
      </c>
      <c r="R50" s="12">
        <v>2.0</v>
      </c>
      <c r="S50" s="12">
        <v>2.0</v>
      </c>
      <c r="T50" s="12">
        <v>2.0</v>
      </c>
      <c r="U50" s="12">
        <v>2.0</v>
      </c>
      <c r="V50" s="12">
        <v>2.0</v>
      </c>
      <c r="W50" s="12">
        <v>2.0</v>
      </c>
      <c r="X50" s="12">
        <v>2.0</v>
      </c>
      <c r="Y50" s="12">
        <v>2.0</v>
      </c>
      <c r="Z50" s="12">
        <v>2.0</v>
      </c>
      <c r="AA50" s="12">
        <v>2.0</v>
      </c>
      <c r="AB50" s="12">
        <v>2.0</v>
      </c>
      <c r="AC50" s="12">
        <v>1.5</v>
      </c>
      <c r="AD50" s="12">
        <v>1.5</v>
      </c>
      <c r="AE50" s="12">
        <v>2.0</v>
      </c>
      <c r="AF50" s="12">
        <v>2.0</v>
      </c>
      <c r="AG50" s="12">
        <v>3.0</v>
      </c>
      <c r="AH50" s="12">
        <v>3.0</v>
      </c>
      <c r="AI50" s="12">
        <v>4.0</v>
      </c>
      <c r="AJ50" s="12">
        <v>3.0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H2"/>
    <mergeCell ref="A49:F49"/>
  </mergeCells>
  <printOptions/>
  <pageMargins bottom="1.0" footer="0.0" header="0.0" left="0.75" right="0.75" top="1.0"/>
  <pageSetup paperSize="9" orientation="portrait"/>
  <drawing r:id="rId1"/>
</worksheet>
</file>